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使い方" sheetId="1" state="visible" r:id="rId1"/>
    <sheet xmlns:r="http://schemas.openxmlformats.org/officeDocument/2006/relationships" name="📊 スキル評価シート" sheetId="2" state="visible" r:id="rId2"/>
    <sheet xmlns:r="http://schemas.openxmlformats.org/officeDocument/2006/relationships" name="📈 集計" sheetId="3" state="visible" r:id="rId3"/>
  </sheets>
  <definedNames/>
  <calcPr calcId="124519" fullCalcOnLoad="1"/>
</workbook>
</file>

<file path=xl/styles.xml><?xml version="1.0" encoding="utf-8"?>
<styleSheet xmlns="http://schemas.openxmlformats.org/spreadsheetml/2006/main">
  <numFmts count="0"/>
  <fonts count="40">
    <font>
      <name val="Calibri"/>
      <family val="2"/>
      <color theme="1"/>
      <sz val="11"/>
      <scheme val="minor"/>
    </font>
    <font>
      <name val="Meiryo UI"/>
      <b val="1"/>
      <color rgb="001E2D4E"/>
      <sz val="18"/>
    </font>
    <font>
      <name val="Meiryo UI"/>
      <color rgb="004A5270"/>
      <sz val="12"/>
    </font>
    <font>
      <name val="Meiryo UI"/>
      <b val="1"/>
      <color rgb="001E2D4E"/>
      <sz val="11"/>
    </font>
    <font>
      <name val="Meiryo UI"/>
      <b val="1"/>
      <color rgb="004F8EF7"/>
      <sz val="16"/>
    </font>
    <font>
      <name val="Meiryo UI"/>
      <color rgb="001A1F35"/>
      <sz val="10"/>
    </font>
    <font>
      <name val="Meiryo UI"/>
      <b val="1"/>
      <color rgb="002ECC71"/>
      <sz val="16"/>
    </font>
    <font>
      <name val="Meiryo UI"/>
      <b val="1"/>
      <color rgb="00F39C12"/>
      <sz val="16"/>
    </font>
    <font>
      <name val="Meiryo UI"/>
      <b val="1"/>
      <color rgb="00E74C3C"/>
      <sz val="16"/>
    </font>
    <font>
      <name val="Meiryo UI"/>
      <b val="1"/>
      <color rgb="004F8EF7"/>
      <sz val="10"/>
    </font>
    <font>
      <name val="Meiryo UI"/>
      <sz val="12"/>
    </font>
    <font>
      <name val="Meiryo UI"/>
      <color rgb="004A5270"/>
      <sz val="10"/>
    </font>
    <font>
      <name val="Meiryo UI"/>
      <b val="1"/>
      <color rgb="00FFFFFF"/>
      <sz val="14"/>
    </font>
    <font>
      <name val="Meiryo UI"/>
      <b val="1"/>
      <color rgb="00FFFFFF"/>
      <sz val="9"/>
    </font>
    <font>
      <name val="Meiryo UI"/>
      <b val="1"/>
      <color rgb="00FFEE88"/>
      <sz val="9"/>
    </font>
    <font>
      <name val="Meiryo UI"/>
      <b val="1"/>
      <color rgb="00BBDEFB"/>
      <sz val="9"/>
    </font>
    <font>
      <name val="Meiryo UI"/>
      <b val="1"/>
      <color rgb="00FFFFFF"/>
      <sz val="11"/>
    </font>
    <font>
      <name val="Meiryo UI"/>
      <color rgb="00AAAAAA"/>
      <sz val="8"/>
    </font>
    <font>
      <name val="Meiryo UI"/>
      <b val="1"/>
      <color rgb="004A5270"/>
      <sz val="9"/>
    </font>
    <font>
      <name val="Meiryo UI"/>
      <b val="1"/>
      <color rgb="006030C0"/>
      <sz val="10"/>
    </font>
    <font>
      <name val="Meiryo UI"/>
      <color rgb="004A5270"/>
      <sz val="9"/>
    </font>
    <font>
      <name val="Meiryo UI"/>
      <b val="1"/>
      <color rgb="00C0392B"/>
      <sz val="9"/>
    </font>
    <font>
      <name val="Meiryo UI"/>
      <b val="1"/>
      <color rgb="001A1F35"/>
      <sz val="14"/>
    </font>
    <font>
      <name val="Meiryo UI"/>
      <b val="1"/>
      <color rgb="00C02020"/>
      <sz val="10"/>
    </font>
    <font>
      <name val="Meiryo UI"/>
      <b val="1"/>
      <color rgb="001A1F35"/>
      <sz val="10"/>
    </font>
    <font>
      <name val="Meiryo UI"/>
      <b val="1"/>
      <color rgb="00707070"/>
      <sz val="9"/>
    </font>
    <font>
      <name val="Meiryo UI"/>
      <b val="1"/>
      <color rgb="00D68910"/>
      <sz val="9"/>
    </font>
    <font>
      <name val="Meiryo UI"/>
      <b val="1"/>
      <color rgb="001E2D4E"/>
      <sz val="16"/>
    </font>
    <font>
      <name val="Meiryo UI"/>
      <b val="1"/>
      <color rgb="00FFFFFF"/>
      <sz val="10"/>
    </font>
    <font>
      <name val="Meiryo UI"/>
      <b val="1"/>
      <color rgb="001E2D4E"/>
      <sz val="10"/>
    </font>
    <font>
      <name val="Meiryo UI"/>
      <b val="1"/>
      <sz val="11"/>
    </font>
    <font>
      <name val="Meiryo UI"/>
      <b val="1"/>
      <color rgb="004F8EF7"/>
      <sz val="11"/>
    </font>
    <font>
      <name val="Meiryo UI"/>
      <b val="1"/>
      <color rgb="002ECC71"/>
      <sz val="11"/>
    </font>
    <font>
      <name val="Meiryo UI"/>
      <b val="1"/>
      <color rgb="00F39C12"/>
      <sz val="11"/>
    </font>
    <font>
      <name val="Meiryo UI"/>
      <b val="1"/>
      <color rgb="00E74C3C"/>
      <sz val="11"/>
    </font>
    <font>
      <name val="Meiryo UI"/>
      <b val="1"/>
      <color rgb="004F8EF7"/>
      <sz val="12"/>
    </font>
    <font>
      <name val="Meiryo UI"/>
      <b val="1"/>
      <color rgb="002ECC71"/>
      <sz val="12"/>
    </font>
    <font>
      <name val="Meiryo UI"/>
      <b val="1"/>
      <color rgb="00F39C12"/>
      <sz val="12"/>
    </font>
    <font>
      <name val="Meiryo UI"/>
      <b val="1"/>
      <color rgb="00E74C3C"/>
      <sz val="12"/>
    </font>
    <font>
      <name val="Meiryo UI"/>
      <color rgb="00888888"/>
      <sz val="9"/>
    </font>
  </fonts>
  <fills count="31">
    <fill>
      <patternFill/>
    </fill>
    <fill>
      <patternFill patternType="gray125"/>
    </fill>
    <fill>
      <patternFill patternType="solid">
        <fgColor rgb="00EEF2FF"/>
      </patternFill>
    </fill>
    <fill>
      <patternFill patternType="solid">
        <fgColor rgb="00EEF6FF"/>
      </patternFill>
    </fill>
    <fill>
      <patternFill patternType="solid">
        <fgColor rgb="00EEFFF6"/>
      </patternFill>
    </fill>
    <fill>
      <patternFill patternType="solid">
        <fgColor rgb="00FFFBEE"/>
      </patternFill>
    </fill>
    <fill>
      <patternFill patternType="solid">
        <fgColor rgb="00FFF2EE"/>
      </patternFill>
    </fill>
    <fill>
      <patternFill patternType="solid">
        <fgColor rgb="00F0F4FF"/>
      </patternFill>
    </fill>
    <fill>
      <patternFill patternType="solid">
        <fgColor rgb="00F0FFF8"/>
      </patternFill>
    </fill>
    <fill>
      <patternFill patternType="solid">
        <fgColor rgb="00FFFDF0"/>
      </patternFill>
    </fill>
    <fill>
      <patternFill patternType="solid">
        <fgColor rgb="00FFF5F5"/>
      </patternFill>
    </fill>
    <fill>
      <patternFill patternType="solid">
        <fgColor rgb="001E2D4E"/>
      </patternFill>
    </fill>
    <fill>
      <patternFill patternType="solid">
        <fgColor rgb="002A3F6F"/>
      </patternFill>
    </fill>
    <fill>
      <patternFill patternType="solid">
        <fgColor rgb="008B6914"/>
      </patternFill>
    </fill>
    <fill>
      <patternFill patternType="solid">
        <fgColor rgb="000D47A1"/>
      </patternFill>
    </fill>
    <fill>
      <patternFill patternType="solid">
        <fgColor rgb="00F0EAFF"/>
      </patternFill>
    </fill>
    <fill>
      <patternFill patternType="solid">
        <fgColor rgb="00FEECEC"/>
      </patternFill>
    </fill>
    <fill>
      <patternFill patternType="solid">
        <fgColor rgb="00FFFDE7"/>
      </patternFill>
    </fill>
    <fill>
      <patternFill patternType="solid">
        <fgColor rgb="00E3F2FD"/>
      </patternFill>
    </fill>
    <fill>
      <patternFill patternType="solid">
        <fgColor rgb="00FAFBFF"/>
      </patternFill>
    </fill>
    <fill>
      <patternFill patternType="solid">
        <fgColor rgb="00FFF0EE"/>
      </patternFill>
    </fill>
    <fill>
      <patternFill patternType="solid">
        <fgColor rgb="00F5F0FF"/>
      </patternFill>
    </fill>
    <fill>
      <patternFill patternType="solid">
        <fgColor rgb="00F4F6FB"/>
      </patternFill>
    </fill>
    <fill>
      <patternFill patternType="solid">
        <fgColor rgb="00EFF6FF"/>
      </patternFill>
    </fill>
    <fill>
      <patternFill patternType="solid">
        <fgColor rgb="00F0F0F0"/>
      </patternFill>
    </fill>
    <fill>
      <patternFill patternType="solid">
        <fgColor rgb="00FFF5E6"/>
      </patternFill>
    </fill>
    <fill>
      <patternFill patternType="solid">
        <fgColor rgb="00F3EEFF"/>
      </patternFill>
    </fill>
    <fill>
      <patternFill patternType="solid">
        <fgColor rgb="00EDFFF5"/>
      </patternFill>
    </fill>
    <fill>
      <patternFill patternType="solid">
        <fgColor rgb="00EDFFF8"/>
      </patternFill>
    </fill>
    <fill>
      <patternFill patternType="solid">
        <fgColor rgb="00EFF8FF"/>
      </patternFill>
    </fill>
    <fill>
      <patternFill patternType="solid">
        <fgColor rgb="00FFF0F5"/>
      </patternFill>
    </fill>
  </fills>
  <borders count="2">
    <border>
      <left/>
      <right/>
      <top/>
      <bottom/>
      <diagonal/>
    </border>
    <border>
      <bottom style="thin">
        <color rgb="00E0E4F0"/>
      </bottom>
    </border>
  </borders>
  <cellStyleXfs count="1">
    <xf numFmtId="0" fontId="0" fillId="0" borderId="0"/>
  </cellStyleXfs>
  <cellXfs count="131">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indent="1"/>
    </xf>
    <xf numFmtId="0" fontId="4" fillId="3" borderId="0" applyAlignment="1" pivotButton="0" quotePrefix="0" xfId="0">
      <alignment horizontal="center" vertical="center"/>
    </xf>
    <xf numFmtId="0" fontId="5" fillId="3" borderId="0" applyAlignment="1" pivotButton="0" quotePrefix="0" xfId="0">
      <alignment horizontal="left" vertical="center" indent="1"/>
    </xf>
    <xf numFmtId="0" fontId="6" fillId="4" borderId="0" applyAlignment="1" pivotButton="0" quotePrefix="0" xfId="0">
      <alignment horizontal="center" vertical="center"/>
    </xf>
    <xf numFmtId="0" fontId="5" fillId="4" borderId="0" applyAlignment="1" pivotButton="0" quotePrefix="0" xfId="0">
      <alignment horizontal="left" vertical="center" indent="1"/>
    </xf>
    <xf numFmtId="0" fontId="7" fillId="5" borderId="0" applyAlignment="1" pivotButton="0" quotePrefix="0" xfId="0">
      <alignment horizontal="center" vertical="center"/>
    </xf>
    <xf numFmtId="0" fontId="5" fillId="5" borderId="0" applyAlignment="1" pivotButton="0" quotePrefix="0" xfId="0">
      <alignment horizontal="left" vertical="center" indent="1"/>
    </xf>
    <xf numFmtId="0" fontId="8" fillId="6" borderId="0" applyAlignment="1" pivotButton="0" quotePrefix="0" xfId="0">
      <alignment horizontal="center" vertical="center"/>
    </xf>
    <xf numFmtId="0" fontId="5" fillId="6" borderId="0" applyAlignment="1" pivotButton="0" quotePrefix="0" xfId="0">
      <alignment horizontal="left" vertical="center" indent="1"/>
    </xf>
    <xf numFmtId="0" fontId="9" fillId="7" borderId="0" applyAlignment="1" pivotButton="0" quotePrefix="0" xfId="0">
      <alignment horizontal="center" vertical="center"/>
    </xf>
    <xf numFmtId="0" fontId="5" fillId="7" borderId="0" applyAlignment="1" pivotButton="0" quotePrefix="0" xfId="0">
      <alignment horizontal="left" vertical="center" indent="1"/>
    </xf>
    <xf numFmtId="0" fontId="9" fillId="8" borderId="0" applyAlignment="1" pivotButton="0" quotePrefix="0" xfId="0">
      <alignment horizontal="center" vertical="center"/>
    </xf>
    <xf numFmtId="0" fontId="5" fillId="8" borderId="0" applyAlignment="1" pivotButton="0" quotePrefix="0" xfId="0">
      <alignment horizontal="left" vertical="center" indent="1"/>
    </xf>
    <xf numFmtId="0" fontId="9" fillId="9" borderId="0" applyAlignment="1" pivotButton="0" quotePrefix="0" xfId="0">
      <alignment horizontal="center" vertical="center"/>
    </xf>
    <xf numFmtId="0" fontId="5" fillId="9" borderId="0" applyAlignment="1" pivotButton="0" quotePrefix="0" xfId="0">
      <alignment horizontal="left" vertical="center" indent="1"/>
    </xf>
    <xf numFmtId="0" fontId="9" fillId="10" borderId="0" applyAlignment="1" pivotButton="0" quotePrefix="0" xfId="0">
      <alignment horizontal="center" vertical="center"/>
    </xf>
    <xf numFmtId="0" fontId="5" fillId="10" borderId="0" applyAlignment="1" pivotButton="0" quotePrefix="0" xfId="0">
      <alignment horizontal="left" vertical="center" indent="1"/>
    </xf>
    <xf numFmtId="0" fontId="10" fillId="0" borderId="0" applyAlignment="1" pivotButton="0" quotePrefix="0" xfId="0">
      <alignment horizontal="center" vertical="center"/>
    </xf>
    <xf numFmtId="0" fontId="11" fillId="0" borderId="0" applyAlignment="1" pivotButton="0" quotePrefix="0" xfId="0">
      <alignment horizontal="left" vertical="center" wrapText="1" indent="1"/>
    </xf>
    <xf numFmtId="0" fontId="12" fillId="11" borderId="0" applyAlignment="1" pivotButton="0" quotePrefix="0" xfId="0">
      <alignment horizontal="left" vertical="center" indent="2"/>
    </xf>
    <xf numFmtId="0" fontId="13" fillId="12" borderId="0" applyAlignment="1" pivotButton="0" quotePrefix="0" xfId="0">
      <alignment horizontal="center" vertical="center" wrapText="1"/>
    </xf>
    <xf numFmtId="0" fontId="14" fillId="13" borderId="0" applyAlignment="1" pivotButton="0" quotePrefix="0" xfId="0">
      <alignment horizontal="center" vertical="center" wrapText="1"/>
    </xf>
    <xf numFmtId="0" fontId="15" fillId="14" borderId="0" applyAlignment="1" pivotButton="0" quotePrefix="0" xfId="0">
      <alignment horizontal="center" vertical="center" wrapText="1"/>
    </xf>
    <xf numFmtId="0" fontId="16" fillId="11" borderId="0" applyAlignment="1" pivotButton="0" quotePrefix="0" xfId="0">
      <alignment horizontal="left" vertical="center" indent="1"/>
    </xf>
    <xf numFmtId="0" fontId="17" fillId="15" borderId="1" applyAlignment="1" pivotButton="0" quotePrefix="0" xfId="0">
      <alignment horizontal="center" vertical="center"/>
    </xf>
    <xf numFmtId="0" fontId="18" fillId="15" borderId="1" applyAlignment="1" pivotButton="0" quotePrefix="0" xfId="0">
      <alignment horizontal="center" vertical="center"/>
    </xf>
    <xf numFmtId="0" fontId="19" fillId="15" borderId="1" applyAlignment="1" pivotButton="0" quotePrefix="0" xfId="0">
      <alignment horizontal="left" vertical="center" wrapText="1" indent="1"/>
    </xf>
    <xf numFmtId="0" fontId="20" fillId="15" borderId="1" applyAlignment="1" pivotButton="0" quotePrefix="0" xfId="0">
      <alignment horizontal="left" vertical="top" wrapText="1" indent="1"/>
    </xf>
    <xf numFmtId="0" fontId="21" fillId="16" borderId="1" applyAlignment="1" pivotButton="0" quotePrefix="0" xfId="0">
      <alignment horizontal="center" vertical="center" wrapText="1"/>
    </xf>
    <xf numFmtId="0" fontId="22" fillId="17" borderId="1" applyAlignment="1" pivotButton="0" quotePrefix="0" xfId="0">
      <alignment horizontal="center" vertical="center"/>
    </xf>
    <xf numFmtId="0" fontId="22" fillId="18" borderId="1" applyAlignment="1" pivotButton="0" quotePrefix="0" xfId="0">
      <alignment horizontal="center" vertical="center"/>
    </xf>
    <xf numFmtId="0" fontId="20" fillId="19" borderId="1" applyAlignment="1" pivotButton="0" quotePrefix="0" xfId="0">
      <alignment horizontal="left" vertical="top" wrapText="1" indent="1"/>
    </xf>
    <xf numFmtId="0" fontId="17" fillId="20" borderId="1" applyAlignment="1" pivotButton="0" quotePrefix="0" xfId="0">
      <alignment horizontal="center" vertical="center"/>
    </xf>
    <xf numFmtId="0" fontId="18" fillId="20" borderId="1" applyAlignment="1" pivotButton="0" quotePrefix="0" xfId="0">
      <alignment horizontal="center" vertical="center"/>
    </xf>
    <xf numFmtId="0" fontId="23" fillId="20" borderId="1" applyAlignment="1" pivotButton="0" quotePrefix="0" xfId="0">
      <alignment horizontal="left" vertical="center" wrapText="1" indent="1"/>
    </xf>
    <xf numFmtId="0" fontId="20" fillId="20" borderId="1" applyAlignment="1" pivotButton="0" quotePrefix="0" xfId="0">
      <alignment horizontal="left" vertical="top" wrapText="1" indent="1"/>
    </xf>
    <xf numFmtId="0" fontId="17" fillId="21" borderId="1" applyAlignment="1" pivotButton="0" quotePrefix="0" xfId="0">
      <alignment horizontal="center" vertical="center"/>
    </xf>
    <xf numFmtId="0" fontId="18" fillId="21" borderId="1" applyAlignment="1" pivotButton="0" quotePrefix="0" xfId="0">
      <alignment horizontal="center" vertical="center"/>
    </xf>
    <xf numFmtId="0" fontId="24" fillId="21" borderId="1" applyAlignment="1" pivotButton="0" quotePrefix="0" xfId="0">
      <alignment horizontal="left" vertical="center" wrapText="1" indent="1"/>
    </xf>
    <xf numFmtId="0" fontId="20" fillId="21" borderId="1" applyAlignment="1" pivotButton="0" quotePrefix="0" xfId="0">
      <alignment horizontal="left" vertical="top" wrapText="1" indent="1"/>
    </xf>
    <xf numFmtId="0" fontId="0" fillId="22" borderId="0" pivotButton="0" quotePrefix="0" xfId="0"/>
    <xf numFmtId="0" fontId="17" fillId="23" borderId="1" applyAlignment="1" pivotButton="0" quotePrefix="0" xfId="0">
      <alignment horizontal="center" vertical="center"/>
    </xf>
    <xf numFmtId="0" fontId="18" fillId="23" borderId="1" applyAlignment="1" pivotButton="0" quotePrefix="0" xfId="0">
      <alignment horizontal="center" vertical="center"/>
    </xf>
    <xf numFmtId="0" fontId="24" fillId="23" borderId="1" applyAlignment="1" pivotButton="0" quotePrefix="0" xfId="0">
      <alignment horizontal="left" vertical="center" wrapText="1" indent="1"/>
    </xf>
    <xf numFmtId="0" fontId="20" fillId="23" borderId="1" applyAlignment="1" pivotButton="0" quotePrefix="0" xfId="0">
      <alignment horizontal="left" vertical="top" wrapText="1" indent="1"/>
    </xf>
    <xf numFmtId="0" fontId="25" fillId="24" borderId="1" applyAlignment="1" pivotButton="0" quotePrefix="0" xfId="0">
      <alignment horizontal="center" vertical="center" wrapText="1"/>
    </xf>
    <xf numFmtId="0" fontId="26" fillId="25" borderId="1" applyAlignment="1" pivotButton="0" quotePrefix="0" xfId="0">
      <alignment horizontal="center" vertical="center" wrapText="1"/>
    </xf>
    <xf numFmtId="0" fontId="17" fillId="26" borderId="1" applyAlignment="1" pivotButton="0" quotePrefix="0" xfId="0">
      <alignment horizontal="center" vertical="center"/>
    </xf>
    <xf numFmtId="0" fontId="18" fillId="26" borderId="1" applyAlignment="1" pivotButton="0" quotePrefix="0" xfId="0">
      <alignment horizontal="center" vertical="center"/>
    </xf>
    <xf numFmtId="0" fontId="24" fillId="26" borderId="1" applyAlignment="1" pivotButton="0" quotePrefix="0" xfId="0">
      <alignment horizontal="left" vertical="center" wrapText="1" indent="1"/>
    </xf>
    <xf numFmtId="0" fontId="20" fillId="26" borderId="1" applyAlignment="1" pivotButton="0" quotePrefix="0" xfId="0">
      <alignment horizontal="left" vertical="top" wrapText="1" indent="1"/>
    </xf>
    <xf numFmtId="0" fontId="17" fillId="27" borderId="1" applyAlignment="1" pivotButton="0" quotePrefix="0" xfId="0">
      <alignment horizontal="center" vertical="center"/>
    </xf>
    <xf numFmtId="0" fontId="18" fillId="27" borderId="1" applyAlignment="1" pivotButton="0" quotePrefix="0" xfId="0">
      <alignment horizontal="center" vertical="center"/>
    </xf>
    <xf numFmtId="0" fontId="24" fillId="27" borderId="1" applyAlignment="1" pivotButton="0" quotePrefix="0" xfId="0">
      <alignment horizontal="left" vertical="center" wrapText="1" indent="1"/>
    </xf>
    <xf numFmtId="0" fontId="20" fillId="27" borderId="1" applyAlignment="1" pivotButton="0" quotePrefix="0" xfId="0">
      <alignment horizontal="left" vertical="top" wrapText="1" indent="1"/>
    </xf>
    <xf numFmtId="0" fontId="17" fillId="6" borderId="1" applyAlignment="1" pivotButton="0" quotePrefix="0" xfId="0">
      <alignment horizontal="center" vertical="center"/>
    </xf>
    <xf numFmtId="0" fontId="18" fillId="6" borderId="1" applyAlignment="1" pivotButton="0" quotePrefix="0" xfId="0">
      <alignment horizontal="center" vertical="center"/>
    </xf>
    <xf numFmtId="0" fontId="24" fillId="6" borderId="1" applyAlignment="1" pivotButton="0" quotePrefix="0" xfId="0">
      <alignment horizontal="left" vertical="center" wrapText="1" indent="1"/>
    </xf>
    <xf numFmtId="0" fontId="20" fillId="6" borderId="1" applyAlignment="1" pivotButton="0" quotePrefix="0" xfId="0">
      <alignment horizontal="left" vertical="top" wrapText="1" indent="1"/>
    </xf>
    <xf numFmtId="0" fontId="17" fillId="5" borderId="1" applyAlignment="1" pivotButton="0" quotePrefix="0" xfId="0">
      <alignment horizontal="center" vertical="center"/>
    </xf>
    <xf numFmtId="0" fontId="18" fillId="5" borderId="1" applyAlignment="1" pivotButton="0" quotePrefix="0" xfId="0">
      <alignment horizontal="center" vertical="center"/>
    </xf>
    <xf numFmtId="0" fontId="24" fillId="5" borderId="1" applyAlignment="1" pivotButton="0" quotePrefix="0" xfId="0">
      <alignment horizontal="left" vertical="center" wrapText="1" indent="1"/>
    </xf>
    <xf numFmtId="0" fontId="20" fillId="5" borderId="1" applyAlignment="1" pivotButton="0" quotePrefix="0" xfId="0">
      <alignment horizontal="left" vertical="top" wrapText="1" indent="1"/>
    </xf>
    <xf numFmtId="0" fontId="17" fillId="28" borderId="1" applyAlignment="1" pivotButton="0" quotePrefix="0" xfId="0">
      <alignment horizontal="center" vertical="center"/>
    </xf>
    <xf numFmtId="0" fontId="18" fillId="28" borderId="1" applyAlignment="1" pivotButton="0" quotePrefix="0" xfId="0">
      <alignment horizontal="center" vertical="center"/>
    </xf>
    <xf numFmtId="0" fontId="24" fillId="28" borderId="1" applyAlignment="1" pivotButton="0" quotePrefix="0" xfId="0">
      <alignment horizontal="left" vertical="center" wrapText="1" indent="1"/>
    </xf>
    <xf numFmtId="0" fontId="20" fillId="28" borderId="1" applyAlignment="1" pivotButton="0" quotePrefix="0" xfId="0">
      <alignment horizontal="left" vertical="top" wrapText="1" indent="1"/>
    </xf>
    <xf numFmtId="0" fontId="17" fillId="29" borderId="1" applyAlignment="1" pivotButton="0" quotePrefix="0" xfId="0">
      <alignment horizontal="center" vertical="center"/>
    </xf>
    <xf numFmtId="0" fontId="18" fillId="29" borderId="1" applyAlignment="1" pivotButton="0" quotePrefix="0" xfId="0">
      <alignment horizontal="center" vertical="center"/>
    </xf>
    <xf numFmtId="0" fontId="24" fillId="29" borderId="1" applyAlignment="1" pivotButton="0" quotePrefix="0" xfId="0">
      <alignment horizontal="left" vertical="center" wrapText="1" indent="1"/>
    </xf>
    <xf numFmtId="0" fontId="20" fillId="29" borderId="1" applyAlignment="1" pivotButton="0" quotePrefix="0" xfId="0">
      <alignment horizontal="left" vertical="top" wrapText="1" indent="1"/>
    </xf>
    <xf numFmtId="0" fontId="17" fillId="30" borderId="1" applyAlignment="1" pivotButton="0" quotePrefix="0" xfId="0">
      <alignment horizontal="center" vertical="center"/>
    </xf>
    <xf numFmtId="0" fontId="18" fillId="30" borderId="1" applyAlignment="1" pivotButton="0" quotePrefix="0" xfId="0">
      <alignment horizontal="center" vertical="center"/>
    </xf>
    <xf numFmtId="0" fontId="24" fillId="30" borderId="1" applyAlignment="1" pivotButton="0" quotePrefix="0" xfId="0">
      <alignment horizontal="left" vertical="center" wrapText="1" indent="1"/>
    </xf>
    <xf numFmtId="0" fontId="20" fillId="30" borderId="1" applyAlignment="1" pivotButton="0" quotePrefix="0" xfId="0">
      <alignment horizontal="left" vertical="top" wrapText="1" indent="1"/>
    </xf>
    <xf numFmtId="0" fontId="27" fillId="0" borderId="0" applyAlignment="1" pivotButton="0" quotePrefix="0" xfId="0">
      <alignment horizontal="left" vertical="center"/>
    </xf>
    <xf numFmtId="0" fontId="28" fillId="12" borderId="0" applyAlignment="1" pivotButton="0" quotePrefix="0" xfId="0">
      <alignment horizontal="center" vertical="center"/>
    </xf>
    <xf numFmtId="0" fontId="29" fillId="21" borderId="0" applyAlignment="1" pivotButton="0" quotePrefix="0" xfId="0">
      <alignment horizontal="left" vertical="center" indent="1"/>
    </xf>
    <xf numFmtId="0" fontId="31" fillId="21" borderId="0" applyAlignment="1" pivotButton="0" quotePrefix="0" xfId="0">
      <alignment horizontal="center" vertical="center"/>
    </xf>
    <xf numFmtId="0" fontId="32" fillId="21" borderId="0" applyAlignment="1" pivotButton="0" quotePrefix="0" xfId="0">
      <alignment horizontal="center" vertical="center"/>
    </xf>
    <xf numFmtId="0" fontId="33" fillId="21" borderId="0" applyAlignment="1" pivotButton="0" quotePrefix="0" xfId="0">
      <alignment horizontal="center" vertical="center"/>
    </xf>
    <xf numFmtId="0" fontId="34" fillId="21" borderId="0" applyAlignment="1" pivotButton="0" quotePrefix="0" xfId="0">
      <alignment horizontal="center" vertical="center"/>
    </xf>
    <xf numFmtId="0" fontId="29" fillId="23" borderId="0" applyAlignment="1" pivotButton="0" quotePrefix="0" xfId="0">
      <alignment horizontal="left" vertical="center" indent="1"/>
    </xf>
    <xf numFmtId="0" fontId="31" fillId="23" borderId="0" applyAlignment="1" pivotButton="0" quotePrefix="0" xfId="0">
      <alignment horizontal="center" vertical="center"/>
    </xf>
    <xf numFmtId="0" fontId="32" fillId="23" borderId="0" applyAlignment="1" pivotButton="0" quotePrefix="0" xfId="0">
      <alignment horizontal="center" vertical="center"/>
    </xf>
    <xf numFmtId="0" fontId="33" fillId="23" borderId="0" applyAlignment="1" pivotButton="0" quotePrefix="0" xfId="0">
      <alignment horizontal="center" vertical="center"/>
    </xf>
    <xf numFmtId="0" fontId="34" fillId="23" borderId="0" applyAlignment="1" pivotButton="0" quotePrefix="0" xfId="0">
      <alignment horizontal="center" vertical="center"/>
    </xf>
    <xf numFmtId="0" fontId="29" fillId="26" borderId="0" applyAlignment="1" pivotButton="0" quotePrefix="0" xfId="0">
      <alignment horizontal="left" vertical="center" indent="1"/>
    </xf>
    <xf numFmtId="0" fontId="31" fillId="26" borderId="0" applyAlignment="1" pivotButton="0" quotePrefix="0" xfId="0">
      <alignment horizontal="center" vertical="center"/>
    </xf>
    <xf numFmtId="0" fontId="32" fillId="26" borderId="0" applyAlignment="1" pivotButton="0" quotePrefix="0" xfId="0">
      <alignment horizontal="center" vertical="center"/>
    </xf>
    <xf numFmtId="0" fontId="33" fillId="26" borderId="0" applyAlignment="1" pivotButton="0" quotePrefix="0" xfId="0">
      <alignment horizontal="center" vertical="center"/>
    </xf>
    <xf numFmtId="0" fontId="34" fillId="26" borderId="0" applyAlignment="1" pivotButton="0" quotePrefix="0" xfId="0">
      <alignment horizontal="center" vertical="center"/>
    </xf>
    <xf numFmtId="0" fontId="29" fillId="27" borderId="0" applyAlignment="1" pivotButton="0" quotePrefix="0" xfId="0">
      <alignment horizontal="left" vertical="center" indent="1"/>
    </xf>
    <xf numFmtId="0" fontId="31" fillId="27" borderId="0" applyAlignment="1" pivotButton="0" quotePrefix="0" xfId="0">
      <alignment horizontal="center" vertical="center"/>
    </xf>
    <xf numFmtId="0" fontId="32" fillId="27" borderId="0" applyAlignment="1" pivotButton="0" quotePrefix="0" xfId="0">
      <alignment horizontal="center" vertical="center"/>
    </xf>
    <xf numFmtId="0" fontId="33" fillId="27" borderId="0" applyAlignment="1" pivotButton="0" quotePrefix="0" xfId="0">
      <alignment horizontal="center" vertical="center"/>
    </xf>
    <xf numFmtId="0" fontId="34" fillId="27" borderId="0" applyAlignment="1" pivotButton="0" quotePrefix="0" xfId="0">
      <alignment horizontal="center" vertical="center"/>
    </xf>
    <xf numFmtId="0" fontId="29" fillId="6" borderId="0" applyAlignment="1" pivotButton="0" quotePrefix="0" xfId="0">
      <alignment horizontal="left" vertical="center" indent="1"/>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29" fillId="5" borderId="0" applyAlignment="1" pivotButton="0" quotePrefix="0" xfId="0">
      <alignment horizontal="left" vertical="center" indent="1"/>
    </xf>
    <xf numFmtId="0" fontId="31" fillId="5" borderId="0" applyAlignment="1" pivotButton="0" quotePrefix="0" xfId="0">
      <alignment horizontal="center" vertical="center"/>
    </xf>
    <xf numFmtId="0" fontId="32" fillId="5" borderId="0" applyAlignment="1" pivotButton="0" quotePrefix="0" xfId="0">
      <alignment horizontal="center" vertical="center"/>
    </xf>
    <xf numFmtId="0" fontId="33" fillId="5" borderId="0" applyAlignment="1" pivotButton="0" quotePrefix="0" xfId="0">
      <alignment horizontal="center" vertical="center"/>
    </xf>
    <xf numFmtId="0" fontId="34" fillId="5" borderId="0" applyAlignment="1" pivotButton="0" quotePrefix="0" xfId="0">
      <alignment horizontal="center" vertical="center"/>
    </xf>
    <xf numFmtId="0" fontId="29" fillId="28" borderId="0" applyAlignment="1" pivotButton="0" quotePrefix="0" xfId="0">
      <alignment horizontal="left" vertical="center" indent="1"/>
    </xf>
    <xf numFmtId="0" fontId="31" fillId="28" borderId="0" applyAlignment="1" pivotButton="0" quotePrefix="0" xfId="0">
      <alignment horizontal="center" vertical="center"/>
    </xf>
    <xf numFmtId="0" fontId="32" fillId="28" borderId="0" applyAlignment="1" pivotButton="0" quotePrefix="0" xfId="0">
      <alignment horizontal="center" vertical="center"/>
    </xf>
    <xf numFmtId="0" fontId="33" fillId="28" borderId="0" applyAlignment="1" pivotButton="0" quotePrefix="0" xfId="0">
      <alignment horizontal="center" vertical="center"/>
    </xf>
    <xf numFmtId="0" fontId="34" fillId="28" borderId="0" applyAlignment="1" pivotButton="0" quotePrefix="0" xfId="0">
      <alignment horizontal="center" vertical="center"/>
    </xf>
    <xf numFmtId="0" fontId="29" fillId="29" borderId="0" applyAlignment="1" pivotButton="0" quotePrefix="0" xfId="0">
      <alignment horizontal="left" vertical="center" indent="1"/>
    </xf>
    <xf numFmtId="0" fontId="31" fillId="29" borderId="0" applyAlignment="1" pivotButton="0" quotePrefix="0" xfId="0">
      <alignment horizontal="center" vertical="center"/>
    </xf>
    <xf numFmtId="0" fontId="32" fillId="29" borderId="0" applyAlignment="1" pivotButton="0" quotePrefix="0" xfId="0">
      <alignment horizontal="center" vertical="center"/>
    </xf>
    <xf numFmtId="0" fontId="33" fillId="29" borderId="0" applyAlignment="1" pivotButton="0" quotePrefix="0" xfId="0">
      <alignment horizontal="center" vertical="center"/>
    </xf>
    <xf numFmtId="0" fontId="34" fillId="29" borderId="0" applyAlignment="1" pivotButton="0" quotePrefix="0" xfId="0">
      <alignment horizontal="center" vertical="center"/>
    </xf>
    <xf numFmtId="0" fontId="29" fillId="30" borderId="0" applyAlignment="1" pivotButton="0" quotePrefix="0" xfId="0">
      <alignment horizontal="left" vertical="center" indent="1"/>
    </xf>
    <xf numFmtId="0" fontId="31" fillId="30" borderId="0" applyAlignment="1" pivotButton="0" quotePrefix="0" xfId="0">
      <alignment horizontal="center" vertical="center"/>
    </xf>
    <xf numFmtId="0" fontId="32" fillId="30" borderId="0" applyAlignment="1" pivotButton="0" quotePrefix="0" xfId="0">
      <alignment horizontal="center" vertical="center"/>
    </xf>
    <xf numFmtId="0" fontId="33" fillId="30" borderId="0" applyAlignment="1" pivotButton="0" quotePrefix="0" xfId="0">
      <alignment horizontal="center" vertical="center"/>
    </xf>
    <xf numFmtId="0" fontId="34" fillId="30" borderId="0" applyAlignment="1" pivotButton="0" quotePrefix="0" xfId="0">
      <alignment horizontal="center" vertical="center"/>
    </xf>
    <xf numFmtId="0" fontId="16" fillId="11" borderId="0" applyAlignment="1" pivotButton="0" quotePrefix="0" xfId="0">
      <alignment horizontal="center" vertical="center"/>
    </xf>
    <xf numFmtId="0" fontId="35" fillId="11" borderId="0" applyAlignment="1" pivotButton="0" quotePrefix="0" xfId="0">
      <alignment horizontal="center" vertical="center"/>
    </xf>
    <xf numFmtId="0" fontId="36" fillId="11" borderId="0" applyAlignment="1" pivotButton="0" quotePrefix="0" xfId="0">
      <alignment horizontal="center" vertical="center"/>
    </xf>
    <xf numFmtId="0" fontId="37" fillId="11" borderId="0" applyAlignment="1" pivotButton="0" quotePrefix="0" xfId="0">
      <alignment horizontal="center" vertical="center"/>
    </xf>
    <xf numFmtId="0" fontId="38" fillId="11" borderId="0" applyAlignment="1" pivotButton="0" quotePrefix="0" xfId="0">
      <alignment horizontal="center" vertical="center"/>
    </xf>
    <xf numFmtId="0" fontId="39"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20"/>
  <sheetViews>
    <sheetView showGridLines="0" workbookViewId="0">
      <selection activeCell="A1" sqref="A1"/>
    </sheetView>
  </sheetViews>
  <sheetFormatPr baseColWidth="8" defaultRowHeight="15"/>
  <cols>
    <col width="3" customWidth="1" min="1" max="1"/>
    <col width="22" customWidth="1" min="2" max="2"/>
    <col width="52" customWidth="1" min="3" max="3"/>
    <col width="22" customWidth="1" min="4" max="4"/>
    <col width="3" customWidth="1" min="5" max="5"/>
  </cols>
  <sheetData>
    <row r="1" ht="20" customHeight="1"/>
    <row r="2" ht="46" customHeight="1">
      <c r="B2" s="1" t="inlineStr">
        <is>
          <t>ヨミテ  マーケティング スキル評価シート</t>
        </is>
      </c>
    </row>
    <row r="3" ht="28" customHeight="1">
      <c r="B3" s="2" t="inlineStr">
        <is>
          <t>あなたの「今」を正直に。成長の地図を描こう。</t>
        </is>
      </c>
    </row>
    <row r="4" ht="14" customHeight="1"/>
    <row r="5" ht="26" customHeight="1">
      <c r="B5" s="3" t="inlineStr">
        <is>
          <t>▌ 評価基準</t>
        </is>
      </c>
    </row>
    <row r="6" ht="26" customHeight="1">
      <c r="B6" s="4" t="inlineStr">
        <is>
          <t>◎</t>
        </is>
      </c>
      <c r="C6" s="5" t="inlineStr">
        <is>
          <t>完全にできる  —  高水準で自走できる。成果を出している実績がある</t>
        </is>
      </c>
    </row>
    <row r="7" ht="26" customHeight="1">
      <c r="B7" s="6" t="inlineStr">
        <is>
          <t>○</t>
        </is>
      </c>
      <c r="C7" s="7" t="inlineStr">
        <is>
          <t>おおむねできる  —  ほぼ自走できる。一部確認・サポートがあれば対応可能</t>
        </is>
      </c>
    </row>
    <row r="8" ht="26" customHeight="1">
      <c r="B8" s="8" t="inlineStr">
        <is>
          <t>△</t>
        </is>
      </c>
      <c r="C8" s="9" t="inlineStr">
        <is>
          <t>理解しているが不十分  —  概念は理解しているが実践が足りない。成果に繋がっていない</t>
        </is>
      </c>
    </row>
    <row r="9" ht="26" customHeight="1">
      <c r="B9" s="10" t="inlineStr">
        <is>
          <t>×</t>
        </is>
      </c>
      <c r="C9" s="11" t="inlineStr">
        <is>
          <t>現状できない  —  未経験または知識が不十分。習得・強化が必要</t>
        </is>
      </c>
    </row>
    <row r="10" ht="14" customHeight="1"/>
    <row r="11" ht="26" customHeight="1">
      <c r="B11" s="3" t="inlineStr">
        <is>
          <t>▌ 使い方</t>
        </is>
      </c>
    </row>
    <row r="12" ht="28" customHeight="1">
      <c r="B12" s="12" t="inlineStr">
        <is>
          <t>STEP 1</t>
        </is>
      </c>
      <c r="C12" s="13" t="inlineStr">
        <is>
          <t>スキル評価シートを開く  ／  「📊 スキル評価シート」タブをクリック</t>
        </is>
      </c>
    </row>
    <row r="13" ht="28" customHeight="1">
      <c r="B13" s="14" t="inlineStr">
        <is>
          <t>STEP 2</t>
        </is>
      </c>
      <c r="C13" s="15" t="inlineStr">
        <is>
          <t>自己評価を記入する  ／  「自己評価」列に ◎ / ○ / △ / × のいずれかを入力（プルダウンから選択可）</t>
        </is>
      </c>
    </row>
    <row r="14" ht="28" customHeight="1">
      <c r="B14" s="16" t="inlineStr">
        <is>
          <t>STEP 3</t>
        </is>
      </c>
      <c r="C14" s="17" t="inlineStr">
        <is>
          <t>上長にレビューしてもらう  ／  「上長評価」列を上長が記入。自己評価とのズレを1on1で確認</t>
        </is>
      </c>
    </row>
    <row r="15" ht="28" customHeight="1">
      <c r="B15" s="18" t="inlineStr">
        <is>
          <t>STEP 4</t>
        </is>
      </c>
      <c r="C15" s="19" t="inlineStr">
        <is>
          <t>集計シートで振り返る  ／  「📈 集計」タブで得点とカテゴリー別スコアを確認</t>
        </is>
      </c>
    </row>
    <row r="16" ht="14" customHeight="1"/>
    <row r="17" ht="26" customHeight="1">
      <c r="B17" s="3" t="inlineStr">
        <is>
          <t>▌ ひとことアドバイス</t>
        </is>
      </c>
    </row>
    <row r="18" ht="22" customHeight="1">
      <c r="B18" s="20" t="inlineStr">
        <is>
          <t>💬</t>
        </is>
      </c>
      <c r="C18" s="21" t="inlineStr">
        <is>
          <t>自己評価は「できてるはず」ではなく「成果を出した実績がある」で◎をつけよう。</t>
        </is>
      </c>
    </row>
    <row r="19" ht="22" customHeight="1">
      <c r="B19" s="20" t="inlineStr">
        <is>
          <t>💬</t>
        </is>
      </c>
      <c r="C19" s="21" t="inlineStr">
        <is>
          <t>△や×は「これから伸びる余地」。正直に書くほど、次のアクションが明確になる。</t>
        </is>
      </c>
    </row>
    <row r="20" ht="22" customHeight="1">
      <c r="B20" s="20" t="inlineStr">
        <is>
          <t>💬</t>
        </is>
      </c>
      <c r="C20" s="21" t="inlineStr">
        <is>
          <t>「◎を多くつけること」が目的ではない。自分と上長の見え方のズレを発見することが目的。</t>
        </is>
      </c>
    </row>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sheetData>
  <mergeCells count="5">
    <mergeCell ref="B11:D11"/>
    <mergeCell ref="B3:D3"/>
    <mergeCell ref="B5:D5"/>
    <mergeCell ref="B17:D17"/>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H82"/>
  <sheetViews>
    <sheetView showGridLines="0" workbookViewId="0">
      <pane ySplit="3" topLeftCell="A4" activePane="bottomLeft" state="frozen"/>
      <selection pane="bottomLeft" activeCell="A1" sqref="A1"/>
    </sheetView>
  </sheetViews>
  <sheetFormatPr baseColWidth="8" defaultRowHeight="15"/>
  <cols>
    <col width="5" customWidth="1" min="1" max="1"/>
    <col width="6" customWidth="1" min="2" max="2"/>
    <col width="28" customWidth="1" min="3" max="3"/>
    <col width="58" customWidth="1" min="4" max="4"/>
    <col width="11" customWidth="1" min="5" max="5"/>
    <col width="12" customWidth="1" min="6" max="6"/>
    <col width="12" customWidth="1" min="7" max="7"/>
    <col width="22" customWidth="1" min="8" max="8"/>
  </cols>
  <sheetData>
    <row r="1" ht="8" customHeight="1"/>
    <row r="2" ht="38" customHeight="1">
      <c r="A2" s="22" t="inlineStr">
        <is>
          <t>ヨミテ  マーケティング スキル評価シート  |  Web広告領域 特化版</t>
        </is>
      </c>
    </row>
    <row r="3" ht="24" customHeight="1">
      <c r="A3" s="23" t="inlineStr">
        <is>
          <t>#</t>
        </is>
      </c>
      <c r="B3" s="23" t="inlineStr">
        <is>
          <t>No.</t>
        </is>
      </c>
      <c r="C3" s="23" t="inlineStr">
        <is>
          <t>スキル名</t>
        </is>
      </c>
      <c r="D3" s="23" t="inlineStr">
        <is>
          <t>◎ のレベル（この水準で◎）</t>
        </is>
      </c>
      <c r="E3" s="23" t="inlineStr">
        <is>
          <t>重要度</t>
        </is>
      </c>
      <c r="F3" s="24" t="inlineStr">
        <is>
          <t>自己評価</t>
        </is>
      </c>
      <c r="G3" s="25" t="inlineStr">
        <is>
          <t>上長評価</t>
        </is>
      </c>
      <c r="H3" s="23" t="inlineStr">
        <is>
          <t>メモ・コメント</t>
        </is>
      </c>
    </row>
    <row r="4" ht="28" customHeight="1">
      <c r="A4" s="26" t="inlineStr">
        <is>
          <t xml:space="preserve">  💡 コピー力・法規制活用・訴求開発力</t>
        </is>
      </c>
    </row>
    <row r="5" ht="52" customHeight="1">
      <c r="A5" s="27" t="inlineStr">
        <is>
          <t>0</t>
        </is>
      </c>
      <c r="B5" s="28" t="inlineStr">
        <is>
          <t>0-1</t>
        </is>
      </c>
      <c r="C5" s="29" t="inlineStr">
        <is>
          <t>★ 訴求の手数</t>
        </is>
      </c>
      <c r="D5" s="30" t="inlineStr">
        <is>
          <t>1テーマに対して30パターン以上の訴求軸（悩み/比較/権威/感情/数字…）を量産できる。同じ表現を繰り返さず「まだ試していない角度」を常に問い続けられる</t>
        </is>
      </c>
      <c r="E5" s="31" t="inlineStr">
        <is>
          <t>CPA直結</t>
        </is>
      </c>
      <c r="F5" s="32" t="inlineStr"/>
      <c r="G5" s="33" t="inlineStr"/>
      <c r="H5" s="34" t="inlineStr"/>
    </row>
    <row r="6" ht="52" customHeight="1">
      <c r="A6" s="27" t="inlineStr">
        <is>
          <t>0</t>
        </is>
      </c>
      <c r="B6" s="28" t="inlineStr">
        <is>
          <t>0-2</t>
        </is>
      </c>
      <c r="C6" s="29" t="inlineStr">
        <is>
          <t>★ 言葉の選択と精度</t>
        </is>
      </c>
      <c r="D6" s="30" t="inlineStr">
        <is>
          <t>「効果的」ではなく「3週間後の朝に鏡で驚く」——抽象を具体的な生活シーンに変換できる。「この言葉でなければならない理由」を語れる</t>
        </is>
      </c>
      <c r="E6" s="31" t="inlineStr">
        <is>
          <t>CPA直結</t>
        </is>
      </c>
      <c r="F6" s="32" t="inlineStr"/>
      <c r="G6" s="33" t="inlineStr"/>
      <c r="H6" s="34" t="inlineStr"/>
    </row>
    <row r="7" ht="52" customHeight="1">
      <c r="A7" s="35" t="inlineStr">
        <is>
          <t>0</t>
        </is>
      </c>
      <c r="B7" s="36" t="inlineStr">
        <is>
          <t>0-3</t>
        </is>
      </c>
      <c r="C7" s="37" t="inlineStr">
        <is>
          <t>⚖ 法規制を活用した強い訴求設計</t>
        </is>
      </c>
      <c r="D7" s="38" t="inlineStr">
        <is>
          <t>薬機法・景表法・特商法の規制範囲を正確に理解した上で「アウトではなくギリギリセーフの最大表現」を設計できる。規制を武器にして強い訴求を作れる</t>
        </is>
      </c>
      <c r="E7" s="31" t="inlineStr">
        <is>
          <t>CPA直結</t>
        </is>
      </c>
      <c r="F7" s="32" t="inlineStr"/>
      <c r="G7" s="33" t="inlineStr"/>
      <c r="H7" s="34" t="inlineStr"/>
    </row>
    <row r="8" ht="52" customHeight="1">
      <c r="A8" s="35" t="inlineStr">
        <is>
          <t>0</t>
        </is>
      </c>
      <c r="B8" s="36" t="inlineStr">
        <is>
          <t>0-4</t>
        </is>
      </c>
      <c r="C8" s="37" t="inlineStr">
        <is>
          <t>⚖ 法律×コピーの即時判断</t>
        </is>
      </c>
      <c r="D8" s="38" t="inlineStr">
        <is>
          <t>作ったコピーを見て「アウト/グレー/セーフ」を即座に分類できる。「なんとなく怖い」ではなく「ここまでは出せる」の根拠を持って動ける</t>
        </is>
      </c>
      <c r="E8" s="31" t="inlineStr">
        <is>
          <t>CPA直結</t>
        </is>
      </c>
      <c r="F8" s="32" t="inlineStr"/>
      <c r="G8" s="33" t="inlineStr"/>
      <c r="H8" s="34" t="inlineStr"/>
    </row>
    <row r="9" ht="52" customHeight="1">
      <c r="A9" s="27" t="inlineStr">
        <is>
          <t>0</t>
        </is>
      </c>
      <c r="B9" s="28" t="inlineStr">
        <is>
          <t>0-5</t>
        </is>
      </c>
      <c r="C9" s="29" t="inlineStr">
        <is>
          <t>★ エビデンスを取りに行く姿勢</t>
        </is>
      </c>
      <c r="D9" s="30" t="inlineStr">
        <is>
          <t>「こういうコピーにしたいからこのエビデンスが必要」と逆算して動ける。外部アンケート委託・クラウドワークス活用・成分データ調査まで自分で動ける</t>
        </is>
      </c>
      <c r="E9" s="31" t="inlineStr">
        <is>
          <t>CPA直結</t>
        </is>
      </c>
      <c r="F9" s="32" t="inlineStr"/>
      <c r="G9" s="33" t="inlineStr"/>
      <c r="H9" s="34" t="inlineStr"/>
    </row>
    <row r="10" ht="52" customHeight="1">
      <c r="A10" s="39" t="inlineStr">
        <is>
          <t>0</t>
        </is>
      </c>
      <c r="B10" s="40" t="inlineStr">
        <is>
          <t>0-6</t>
        </is>
      </c>
      <c r="C10" s="41" t="inlineStr">
        <is>
          <t>インタビュー発言のコピー化</t>
        </is>
      </c>
      <c r="D10" s="42" t="inlineStr">
        <is>
          <t>顧客インタビューで出た言葉を「そのまま使えるコピー候補」として聞き取れる。インタビュー翌週に制作物に反映できている</t>
        </is>
      </c>
      <c r="E10" s="31" t="inlineStr">
        <is>
          <t>CPA直結</t>
        </is>
      </c>
      <c r="F10" s="32" t="inlineStr"/>
      <c r="G10" s="33" t="inlineStr"/>
      <c r="H10" s="34" t="inlineStr"/>
    </row>
    <row r="11" ht="6" customHeight="1">
      <c r="A11" s="43" t="n"/>
      <c r="B11" s="43" t="n"/>
      <c r="C11" s="43" t="n"/>
      <c r="D11" s="43" t="n"/>
      <c r="E11" s="43" t="n"/>
      <c r="F11" s="43" t="n"/>
      <c r="G11" s="43" t="n"/>
      <c r="H11" s="43" t="n"/>
    </row>
    <row r="12" ht="28" customHeight="1">
      <c r="A12" s="26" t="inlineStr">
        <is>
          <t xml:space="preserve">  📊 広告運用</t>
        </is>
      </c>
    </row>
    <row r="13" ht="52" customHeight="1">
      <c r="A13" s="44" t="inlineStr">
        <is>
          <t>1</t>
        </is>
      </c>
      <c r="B13" s="45" t="inlineStr">
        <is>
          <t>1-1</t>
        </is>
      </c>
      <c r="C13" s="46" t="inlineStr">
        <is>
          <t>媒体ロジック理解</t>
        </is>
      </c>
      <c r="D13" s="47" t="inlineStr">
        <is>
          <t>Meta/Google/TikTok/LINE/Yahoo等の配信ロジックを説明できる。媒体ごとの得意不得意を商品特性と紐づけて判断できる</t>
        </is>
      </c>
      <c r="E13" s="31" t="inlineStr">
        <is>
          <t>CPA直結</t>
        </is>
      </c>
      <c r="F13" s="32" t="inlineStr"/>
      <c r="G13" s="33" t="inlineStr"/>
      <c r="H13" s="34" t="inlineStr"/>
    </row>
    <row r="14" ht="52" customHeight="1">
      <c r="A14" s="44" t="inlineStr">
        <is>
          <t>1</t>
        </is>
      </c>
      <c r="B14" s="45" t="inlineStr">
        <is>
          <t>1-2</t>
        </is>
      </c>
      <c r="C14" s="46" t="inlineStr">
        <is>
          <t>アカウント設定・構造設計</t>
        </is>
      </c>
      <c r="D14" s="47" t="inlineStr">
        <is>
          <t>キャンペーン/広告セット/広告のレイヤー設計。テスト用・スケール用・リターゲ用の構造設計。新媒体への初期設定が一人でできる</t>
        </is>
      </c>
      <c r="E14" s="48" t="inlineStr">
        <is>
          <t>基盤</t>
        </is>
      </c>
      <c r="F14" s="32" t="inlineStr"/>
      <c r="G14" s="33" t="inlineStr"/>
      <c r="H14" s="34" t="inlineStr"/>
    </row>
    <row r="15" ht="52" customHeight="1">
      <c r="A15" s="44" t="inlineStr">
        <is>
          <t>1</t>
        </is>
      </c>
      <c r="B15" s="45" t="inlineStr">
        <is>
          <t>1-3</t>
        </is>
      </c>
      <c r="C15" s="46" t="inlineStr">
        <is>
          <t>タグ設置・計測連携</t>
        </is>
      </c>
      <c r="D15" s="47" t="inlineStr">
        <is>
          <t>Metaピクセル/GA4/GTM設置・確認。EC-Forceとの連携。「今の計測は正確か」を常に疑える。計測漏れによるCPA誤認を起こさない</t>
        </is>
      </c>
      <c r="E15" s="31" t="inlineStr">
        <is>
          <t>CPA直結</t>
        </is>
      </c>
      <c r="F15" s="32" t="inlineStr"/>
      <c r="G15" s="33" t="inlineStr"/>
      <c r="H15" s="34" t="inlineStr"/>
    </row>
    <row r="16" ht="52" customHeight="1">
      <c r="A16" s="44" t="inlineStr">
        <is>
          <t>1</t>
        </is>
      </c>
      <c r="B16" s="45" t="inlineStr">
        <is>
          <t>1-4</t>
        </is>
      </c>
      <c r="C16" s="46" t="inlineStr">
        <is>
          <t>予算コントロール（伸縮判断）</t>
        </is>
      </c>
      <c r="D16" s="47" t="inlineStr">
        <is>
          <t>CPAが安い時に素早く伸ばし、高騰時に適切に抑える判断力。「今日の数字」を見て午前中に動ける。Day100件を軸にした日次判断基準を持っている</t>
        </is>
      </c>
      <c r="E16" s="31" t="inlineStr">
        <is>
          <t>CPA直結</t>
        </is>
      </c>
      <c r="F16" s="32" t="inlineStr"/>
      <c r="G16" s="33" t="inlineStr"/>
      <c r="H16" s="34" t="inlineStr"/>
    </row>
    <row r="17" ht="52" customHeight="1">
      <c r="A17" s="44" t="inlineStr">
        <is>
          <t>1</t>
        </is>
      </c>
      <c r="B17" s="45" t="inlineStr">
        <is>
          <t>1-5</t>
        </is>
      </c>
      <c r="C17" s="46" t="inlineStr">
        <is>
          <t>オーディエンス設計</t>
        </is>
      </c>
      <c r="D17" s="47" t="inlineStr">
        <is>
          <t>Meta類似/インタレスト/リターゲの組み合わせ設計。Advantage+活用の判断。テスト→スケールへの切り替え判断</t>
        </is>
      </c>
      <c r="E17" s="31" t="inlineStr">
        <is>
          <t>CPA直結</t>
        </is>
      </c>
      <c r="F17" s="32" t="inlineStr"/>
      <c r="G17" s="33" t="inlineStr"/>
      <c r="H17" s="34" t="inlineStr"/>
    </row>
    <row r="18" ht="52" customHeight="1">
      <c r="A18" s="44" t="inlineStr">
        <is>
          <t>1</t>
        </is>
      </c>
      <c r="B18" s="45" t="inlineStr">
        <is>
          <t>1-6</t>
        </is>
      </c>
      <c r="C18" s="46" t="inlineStr">
        <is>
          <t>広告審査・リジェクト対応</t>
        </is>
      </c>
      <c r="D18" s="47" t="inlineStr">
        <is>
          <t>健康食品・スキンケア領域の各媒体ポリシー理解。リジェクト時に「どこを変えれば通るか」を即判断できる</t>
        </is>
      </c>
      <c r="E18" s="49" t="inlineStr">
        <is>
          <t>CVR</t>
        </is>
      </c>
      <c r="F18" s="32" t="inlineStr"/>
      <c r="G18" s="33" t="inlineStr"/>
      <c r="H18" s="34" t="inlineStr"/>
    </row>
    <row r="19" ht="52" customHeight="1">
      <c r="A19" s="44" t="inlineStr">
        <is>
          <t>1</t>
        </is>
      </c>
      <c r="B19" s="45" t="inlineStr">
        <is>
          <t>1-7</t>
        </is>
      </c>
      <c r="C19" s="46" t="inlineStr">
        <is>
          <t>クリエイティブ疲弊検知・入れ替え</t>
        </is>
      </c>
      <c r="D19" s="47" t="inlineStr">
        <is>
          <t>CTR/CPAの推移から疲弊を検知する数値基準を持っている。「次に何を入れるか」の方向性判断までセット。疲弊前に次を用意できる先回り力</t>
        </is>
      </c>
      <c r="E19" s="31" t="inlineStr">
        <is>
          <t>CPA直結</t>
        </is>
      </c>
      <c r="F19" s="32" t="inlineStr"/>
      <c r="G19" s="33" t="inlineStr"/>
      <c r="H19" s="34" t="inlineStr"/>
    </row>
    <row r="20" ht="52" customHeight="1">
      <c r="A20" s="44" t="inlineStr">
        <is>
          <t>1</t>
        </is>
      </c>
      <c r="B20" s="45" t="inlineStr">
        <is>
          <t>1-8</t>
        </is>
      </c>
      <c r="C20" s="46" t="inlineStr">
        <is>
          <t>リターゲ施策設計</t>
        </is>
      </c>
      <c r="D20" s="47" t="inlineStr">
        <is>
          <t>ロジカド・SMSリマーケ・商標リスティング等の活用。CVに至らなかったユーザーへの再アプローチ設計。SMS文言の最適化も含む</t>
        </is>
      </c>
      <c r="E20" s="49" t="inlineStr">
        <is>
          <t>CVR</t>
        </is>
      </c>
      <c r="F20" s="32" t="inlineStr"/>
      <c r="G20" s="33" t="inlineStr"/>
      <c r="H20" s="34" t="inlineStr"/>
    </row>
    <row r="21" ht="6" customHeight="1">
      <c r="A21" s="43" t="n"/>
      <c r="B21" s="43" t="n"/>
      <c r="C21" s="43" t="n"/>
      <c r="D21" s="43" t="n"/>
      <c r="E21" s="43" t="n"/>
      <c r="F21" s="43" t="n"/>
      <c r="G21" s="43" t="n"/>
      <c r="H21" s="43" t="n"/>
    </row>
    <row r="22" ht="28" customHeight="1">
      <c r="A22" s="26" t="inlineStr">
        <is>
          <t xml:space="preserve">  📝 記事LP</t>
        </is>
      </c>
    </row>
    <row r="23" ht="52" customHeight="1">
      <c r="A23" s="27" t="inlineStr">
        <is>
          <t>2</t>
        </is>
      </c>
      <c r="B23" s="28" t="inlineStr">
        <is>
          <t>2-1</t>
        </is>
      </c>
      <c r="C23" s="29" t="inlineStr">
        <is>
          <t>★ コンテンツ戦略設計</t>
        </is>
      </c>
      <c r="D23" s="30" t="inlineStr">
        <is>
          <t>「何を言うべきか」の上流設計。競合との比較でギャップを特定し「何を作れば勝てるか」を考え抜ける。不足素材を自ら動いて埋める姿勢がある</t>
        </is>
      </c>
      <c r="E23" s="31" t="inlineStr">
        <is>
          <t>CPA直結</t>
        </is>
      </c>
      <c r="F23" s="32" t="inlineStr"/>
      <c r="G23" s="33" t="inlineStr"/>
      <c r="H23" s="34" t="inlineStr"/>
    </row>
    <row r="24" ht="52" customHeight="1">
      <c r="A24" s="50" t="inlineStr">
        <is>
          <t>2</t>
        </is>
      </c>
      <c r="B24" s="51" t="inlineStr">
        <is>
          <t>2-2</t>
        </is>
      </c>
      <c r="C24" s="52" t="inlineStr">
        <is>
          <t>記事LP全体構成設計</t>
        </is>
      </c>
      <c r="D24" s="53" t="inlineStr">
        <is>
          <t>フック→共感→問題→新認識→解決策→証拠→オファー→CTAの全体ワイヤー設計。訴求軸の選定・情報の順番・各ブロックの長さ配分まで設計できる</t>
        </is>
      </c>
      <c r="E24" s="31" t="inlineStr">
        <is>
          <t>CPA直結</t>
        </is>
      </c>
      <c r="F24" s="32" t="inlineStr"/>
      <c r="G24" s="33" t="inlineStr"/>
      <c r="H24" s="34" t="inlineStr"/>
    </row>
    <row r="25" ht="52" customHeight="1">
      <c r="A25" s="50" t="inlineStr">
        <is>
          <t>2</t>
        </is>
      </c>
      <c r="B25" s="51" t="inlineStr">
        <is>
          <t>2-3</t>
        </is>
      </c>
      <c r="C25" s="52" t="inlineStr">
        <is>
          <t>権威性の調達・創出</t>
        </is>
      </c>
      <c r="D25" s="53" t="inlineStr">
        <is>
          <t>権威性が弱い時に「作りに行く」。外部アンケート委託・クラウドワークスでのレポート収集・質の高い口コミのための人探しまで動ける</t>
        </is>
      </c>
      <c r="E25" s="31" t="inlineStr">
        <is>
          <t>CPA直結</t>
        </is>
      </c>
      <c r="F25" s="32" t="inlineStr"/>
      <c r="G25" s="33" t="inlineStr"/>
      <c r="H25" s="34" t="inlineStr"/>
    </row>
    <row r="26" ht="52" customHeight="1">
      <c r="A26" s="50" t="inlineStr">
        <is>
          <t>2</t>
        </is>
      </c>
      <c r="B26" s="51" t="inlineStr">
        <is>
          <t>2-4</t>
        </is>
      </c>
      <c r="C26" s="52" t="inlineStr">
        <is>
          <t>フック設計（冒頭200字）</t>
        </is>
      </c>
      <c r="D26" s="53" t="inlineStr">
        <is>
          <t>「これ私のことだ」と思わせる冒頭の言語設計。ターゲットの悩みを当人より解像度高く言語化できる。読み飛ばしを許さない引力がある</t>
        </is>
      </c>
      <c r="E26" s="31" t="inlineStr">
        <is>
          <t>CPA直結</t>
        </is>
      </c>
      <c r="F26" s="32" t="inlineStr"/>
      <c r="G26" s="33" t="inlineStr"/>
      <c r="H26" s="34" t="inlineStr"/>
    </row>
    <row r="27" ht="52" customHeight="1">
      <c r="A27" s="27" t="inlineStr">
        <is>
          <t>2</t>
        </is>
      </c>
      <c r="B27" s="28" t="inlineStr">
        <is>
          <t>2-5</t>
        </is>
      </c>
      <c r="C27" s="29" t="inlineStr">
        <is>
          <t>★ 構成内の具体的表現力</t>
        </is>
      </c>
      <c r="D27" s="30" t="inlineStr">
        <is>
          <t>「腸内環境が乱れる」→「毎朝お腹が張って、出かける前に不安になる」。抽象を具体的な生活シーンに変換できる。読んでいて映像が浮かぶ描写</t>
        </is>
      </c>
      <c r="E27" s="31" t="inlineStr">
        <is>
          <t>CPA直結</t>
        </is>
      </c>
      <c r="F27" s="32" t="inlineStr"/>
      <c r="G27" s="33" t="inlineStr"/>
      <c r="H27" s="34" t="inlineStr"/>
    </row>
    <row r="28" ht="52" customHeight="1">
      <c r="A28" s="50" t="inlineStr">
        <is>
          <t>2</t>
        </is>
      </c>
      <c r="B28" s="51" t="inlineStr">
        <is>
          <t>2-6</t>
        </is>
      </c>
      <c r="C28" s="52" t="inlineStr">
        <is>
          <t>感情アーク・全文ライティング</t>
        </is>
      </c>
      <c r="D28" s="53" t="inlineStr">
        <is>
          <t>読者の感情温度を「共感の谷→希望の山→決断」と設計するアーク構成力。全文を一人で書き切れる</t>
        </is>
      </c>
      <c r="E28" s="31" t="inlineStr">
        <is>
          <t>CPA直結</t>
        </is>
      </c>
      <c r="F28" s="32" t="inlineStr"/>
      <c r="G28" s="33" t="inlineStr"/>
      <c r="H28" s="34" t="inlineStr"/>
    </row>
    <row r="29" ht="52" customHeight="1">
      <c r="A29" s="50" t="inlineStr">
        <is>
          <t>2</t>
        </is>
      </c>
      <c r="B29" s="51" t="inlineStr">
        <is>
          <t>2-7</t>
        </is>
      </c>
      <c r="C29" s="52" t="inlineStr">
        <is>
          <t>スマホUI・離脱防止設計</t>
        </is>
      </c>
      <c r="D29" s="53" t="inlineStr">
        <is>
          <t>スマホで見た時の読者体験を常に想像して制作できる。見出し・ウィジェット・キャッチーなワード選定で「縦スクロールで離脱されない」仕掛けを意図的に設計できる</t>
        </is>
      </c>
      <c r="E29" s="31" t="inlineStr">
        <is>
          <t>CPA直結</t>
        </is>
      </c>
      <c r="F29" s="32" t="inlineStr"/>
      <c r="G29" s="33" t="inlineStr"/>
      <c r="H29" s="34" t="inlineStr"/>
    </row>
    <row r="30" ht="52" customHeight="1">
      <c r="A30" s="50" t="inlineStr">
        <is>
          <t>2</t>
        </is>
      </c>
      <c r="B30" s="51" t="inlineStr">
        <is>
          <t>2-8</t>
        </is>
      </c>
      <c r="C30" s="52" t="inlineStr">
        <is>
          <t>記事LP内画像・ビジュアル設計</t>
        </is>
      </c>
      <c r="D30" s="53" t="inlineStr">
        <is>
          <t>記事LP内の画像（グラフ・Before-After・表）をスマホ表示前提で設計できる。「この画像でCVRが上がるか」を問える</t>
        </is>
      </c>
      <c r="E30" s="49" t="inlineStr">
        <is>
          <t>CVR</t>
        </is>
      </c>
      <c r="F30" s="32" t="inlineStr"/>
      <c r="G30" s="33" t="inlineStr"/>
      <c r="H30" s="34" t="inlineStr"/>
    </row>
    <row r="31" ht="52" customHeight="1">
      <c r="A31" s="50" t="inlineStr">
        <is>
          <t>2</t>
        </is>
      </c>
      <c r="B31" s="51" t="inlineStr">
        <is>
          <t>2-9</t>
        </is>
      </c>
      <c r="C31" s="52" t="inlineStr">
        <is>
          <t>信頼構造設計</t>
        </is>
      </c>
      <c r="D31" s="53" t="inlineStr">
        <is>
          <t>監修者・成分エビデンス・口コミ・数字の配置設計。「いつ・どこで信頼を作るか」の構造判断。早期権威配置の効果を理解している</t>
        </is>
      </c>
      <c r="E31" s="49" t="inlineStr">
        <is>
          <t>CVR</t>
        </is>
      </c>
      <c r="F31" s="32" t="inlineStr"/>
      <c r="G31" s="33" t="inlineStr"/>
      <c r="H31" s="34" t="inlineStr"/>
    </row>
    <row r="32" ht="52" customHeight="1">
      <c r="A32" s="50" t="inlineStr">
        <is>
          <t>2</t>
        </is>
      </c>
      <c r="B32" s="51" t="inlineStr">
        <is>
          <t>2-10</t>
        </is>
      </c>
      <c r="C32" s="52" t="inlineStr">
        <is>
          <t>CTA設計（数・配置・文言）</t>
        </is>
      </c>
      <c r="D32" s="53" t="inlineStr">
        <is>
          <t>CTAの本数・配置・ボタン文言・前後誘導文の設計。「今申し込まないと損だと感じさせる」必然性のあるCTA設計</t>
        </is>
      </c>
      <c r="E32" s="31" t="inlineStr">
        <is>
          <t>CPA直結</t>
        </is>
      </c>
      <c r="F32" s="32" t="inlineStr"/>
      <c r="G32" s="33" t="inlineStr"/>
      <c r="H32" s="34" t="inlineStr"/>
    </row>
    <row r="33" ht="52" customHeight="1">
      <c r="A33" s="35" t="inlineStr">
        <is>
          <t>2</t>
        </is>
      </c>
      <c r="B33" s="36" t="inlineStr">
        <is>
          <t>2-11</t>
        </is>
      </c>
      <c r="C33" s="37" t="inlineStr">
        <is>
          <t>⚖ 薬機法・景表法の表現設計</t>
        </is>
      </c>
      <c r="D33" s="38" t="inlineStr">
        <is>
          <t>各商品の表現規制を把握。「アウト/グレー/セーフ」を即判断し、CVRを下げずにリスクゼロを保てる。規制ギリギリの最大訴求を複数提示できる</t>
        </is>
      </c>
      <c r="E33" s="49" t="inlineStr">
        <is>
          <t>CVR</t>
        </is>
      </c>
      <c r="F33" s="32" t="inlineStr"/>
      <c r="G33" s="33" t="inlineStr"/>
      <c r="H33" s="34" t="inlineStr"/>
    </row>
    <row r="34" ht="52" customHeight="1">
      <c r="A34" s="50" t="inlineStr">
        <is>
          <t>2</t>
        </is>
      </c>
      <c r="B34" s="51" t="inlineStr">
        <is>
          <t>2-12</t>
        </is>
      </c>
      <c r="C34" s="52" t="inlineStr">
        <is>
          <t>記事LP PDCA</t>
        </is>
      </c>
      <c r="D34" s="53" t="inlineStr">
        <is>
          <t>フック/構成/CTA/オファー表現のABテスト設計と結果判断。ヒートマップ・スクロール到達率でのボトルネック特定と改善サイクルを週次で回せる</t>
        </is>
      </c>
      <c r="E34" s="31" t="inlineStr">
        <is>
          <t>CPA直結</t>
        </is>
      </c>
      <c r="F34" s="32" t="inlineStr"/>
      <c r="G34" s="33" t="inlineStr"/>
      <c r="H34" s="34" t="inlineStr"/>
    </row>
    <row r="35" ht="6" customHeight="1">
      <c r="A35" s="43" t="n"/>
      <c r="B35" s="43" t="n"/>
      <c r="C35" s="43" t="n"/>
      <c r="D35" s="43" t="n"/>
      <c r="E35" s="43" t="n"/>
      <c r="F35" s="43" t="n"/>
      <c r="G35" s="43" t="n"/>
      <c r="H35" s="43" t="n"/>
    </row>
    <row r="36" ht="28" customHeight="1">
      <c r="A36" s="26" t="inlineStr">
        <is>
          <t xml:space="preserve">  🛒 商品LP・チャットボット</t>
        </is>
      </c>
    </row>
    <row r="37" ht="52" customHeight="1">
      <c r="A37" s="54" t="inlineStr">
        <is>
          <t>3</t>
        </is>
      </c>
      <c r="B37" s="55" t="inlineStr">
        <is>
          <t>3-1</t>
        </is>
      </c>
      <c r="C37" s="56" t="inlineStr">
        <is>
          <t>商品LP全体構成・コピー設計</t>
        </is>
      </c>
      <c r="D37" s="57" t="inlineStr">
        <is>
          <t>FV→特徴訴求→成分→使い方→口コミ→FAQ→CTAの各セクション設計。FVキャッチを単独で書けてデザイナーブリーフに落とせる</t>
        </is>
      </c>
      <c r="E37" s="31" t="inlineStr">
        <is>
          <t>CPA直結</t>
        </is>
      </c>
      <c r="F37" s="32" t="inlineStr"/>
      <c r="G37" s="33" t="inlineStr"/>
      <c r="H37" s="34" t="inlineStr"/>
    </row>
    <row r="38" ht="52" customHeight="1">
      <c r="A38" s="54" t="inlineStr">
        <is>
          <t>3</t>
        </is>
      </c>
      <c r="B38" s="55" t="inlineStr">
        <is>
          <t>3-2</t>
        </is>
      </c>
      <c r="C38" s="56" t="inlineStr">
        <is>
          <t>チャットボットシナリオ設計</t>
        </is>
      </c>
      <c r="D38" s="57" t="inlineStr">
        <is>
          <t>分岐フロー設計・各分岐の文言・離脱防止ライン設計。申込前の最後の疑問を潰すシナリオ構成。初回価格/特典/緊急性の見せ方設計</t>
        </is>
      </c>
      <c r="E38" s="31" t="inlineStr">
        <is>
          <t>CPA直結</t>
        </is>
      </c>
      <c r="F38" s="32" t="inlineStr"/>
      <c r="G38" s="33" t="inlineStr"/>
      <c r="H38" s="34" t="inlineStr"/>
    </row>
    <row r="39" ht="52" customHeight="1">
      <c r="A39" s="54" t="inlineStr">
        <is>
          <t>3</t>
        </is>
      </c>
      <c r="B39" s="55" t="inlineStr">
        <is>
          <t>3-3</t>
        </is>
      </c>
      <c r="C39" s="56" t="inlineStr">
        <is>
          <t>オファー・価格設計</t>
        </is>
      </c>
      <c r="D39" s="57" t="inlineStr">
        <is>
          <t>初回価格・割引率・特典のセット設計。申込衝動を引き出す価格と継続率を下げない特典設計。キャンペーン設計でCVRをブーストできる</t>
        </is>
      </c>
      <c r="E39" s="31" t="inlineStr">
        <is>
          <t>CPA直結</t>
        </is>
      </c>
      <c r="F39" s="32" t="inlineStr"/>
      <c r="G39" s="33" t="inlineStr"/>
      <c r="H39" s="34" t="inlineStr"/>
    </row>
    <row r="40" ht="52" customHeight="1">
      <c r="A40" s="54" t="inlineStr">
        <is>
          <t>3</t>
        </is>
      </c>
      <c r="B40" s="55" t="inlineStr">
        <is>
          <t>3-4</t>
        </is>
      </c>
      <c r="C40" s="56" t="inlineStr">
        <is>
          <t>EC-Force仕様理解・LP高速化</t>
        </is>
      </c>
      <c r="D40" s="57" t="inlineStr">
        <is>
          <t>EC-Forceの申込フォーム・定期設定の理解。jQuery禁忌を把握。画像最適化/preload/fetchpriorityによる高速化の技術判断</t>
        </is>
      </c>
      <c r="E40" s="49" t="inlineStr">
        <is>
          <t>CVR</t>
        </is>
      </c>
      <c r="F40" s="32" t="inlineStr"/>
      <c r="G40" s="33" t="inlineStr"/>
      <c r="H40" s="34" t="inlineStr"/>
    </row>
    <row r="41" ht="52" customHeight="1">
      <c r="A41" s="54" t="inlineStr">
        <is>
          <t>3</t>
        </is>
      </c>
      <c r="B41" s="55" t="inlineStr">
        <is>
          <t>3-5</t>
        </is>
      </c>
      <c r="C41" s="56" t="inlineStr">
        <is>
          <t>デザイナー・コーダーブリーフ</t>
        </is>
      </c>
      <c r="D41" s="57" t="inlineStr">
        <is>
          <t>ターゲット感情/色温度/情報優先度/視線誘導まで言語化したブリーフ。初稿から8割合格品質を引き出す指示精度</t>
        </is>
      </c>
      <c r="E41" s="48" t="inlineStr">
        <is>
          <t>基盤</t>
        </is>
      </c>
      <c r="F41" s="32" t="inlineStr"/>
      <c r="G41" s="33" t="inlineStr"/>
      <c r="H41" s="34" t="inlineStr"/>
    </row>
    <row r="42" ht="52" customHeight="1">
      <c r="A42" s="54" t="inlineStr">
        <is>
          <t>3</t>
        </is>
      </c>
      <c r="B42" s="55" t="inlineStr">
        <is>
          <t>3-6</t>
        </is>
      </c>
      <c r="C42" s="56" t="inlineStr">
        <is>
          <t>商品LP・CB PDCA</t>
        </is>
      </c>
      <c r="D42" s="57" t="inlineStr">
        <is>
          <t>FV/CTA/オファー表現/チャットボット分岐のABテスト設計と結果判断。「何を変えたらどれだけ動いたか」を定量で語れる</t>
        </is>
      </c>
      <c r="E42" s="31" t="inlineStr">
        <is>
          <t>CPA直結</t>
        </is>
      </c>
      <c r="F42" s="32" t="inlineStr"/>
      <c r="G42" s="33" t="inlineStr"/>
      <c r="H42" s="34" t="inlineStr"/>
    </row>
    <row r="43" ht="6" customHeight="1">
      <c r="A43" s="43" t="n"/>
      <c r="B43" s="43" t="n"/>
      <c r="C43" s="43" t="n"/>
      <c r="D43" s="43" t="n"/>
      <c r="E43" s="43" t="n"/>
      <c r="F43" s="43" t="n"/>
      <c r="G43" s="43" t="n"/>
      <c r="H43" s="43" t="n"/>
    </row>
    <row r="44" ht="28" customHeight="1">
      <c r="A44" s="26" t="inlineStr">
        <is>
          <t xml:space="preserve">  🎬 動画クリエイティブ</t>
        </is>
      </c>
    </row>
    <row r="45" ht="52" customHeight="1">
      <c r="A45" s="58" t="inlineStr">
        <is>
          <t>4</t>
        </is>
      </c>
      <c r="B45" s="59" t="inlineStr">
        <is>
          <t>4-1</t>
        </is>
      </c>
      <c r="C45" s="60" t="inlineStr">
        <is>
          <t>動画企画・訴求軸設計</t>
        </is>
      </c>
      <c r="D45" s="61" t="inlineStr">
        <is>
          <t>UGC/解説/Before-After/比較/証言等の「型」選定と最適型適用。メタの勝ちクリエイティブのTikTok転用判断</t>
        </is>
      </c>
      <c r="E45" s="31" t="inlineStr">
        <is>
          <t>CPA直結</t>
        </is>
      </c>
      <c r="F45" s="32" t="inlineStr"/>
      <c r="G45" s="33" t="inlineStr"/>
      <c r="H45" s="34" t="inlineStr"/>
    </row>
    <row r="46" ht="52" customHeight="1">
      <c r="A46" s="27" t="inlineStr">
        <is>
          <t>4</t>
        </is>
      </c>
      <c r="B46" s="28" t="inlineStr">
        <is>
          <t>4-2</t>
        </is>
      </c>
      <c r="C46" s="29" t="inlineStr">
        <is>
          <t>★ 動画台本ライティング</t>
        </is>
      </c>
      <c r="D46" s="30" t="inlineStr">
        <is>
          <t>冒頭3秒フック→感情アーク構成。60秒尺で視聴維持率を最大化する構成力。既存情報を動画に適した言葉・テンポに「噛み砕いて変換」するコピー力</t>
        </is>
      </c>
      <c r="E46" s="31" t="inlineStr">
        <is>
          <t>CPA直結</t>
        </is>
      </c>
      <c r="F46" s="32" t="inlineStr"/>
      <c r="G46" s="33" t="inlineStr"/>
      <c r="H46" s="34" t="inlineStr"/>
    </row>
    <row r="47" ht="52" customHeight="1">
      <c r="A47" s="58" t="inlineStr">
        <is>
          <t>4</t>
        </is>
      </c>
      <c r="B47" s="59" t="inlineStr">
        <is>
          <t>4-3</t>
        </is>
      </c>
      <c r="C47" s="60" t="inlineStr">
        <is>
          <t>キャスティング（モデル選定・管理）</t>
        </is>
      </c>
      <c r="D47" s="61" t="inlineStr">
        <is>
          <t>月1回以上のモデル手配実績。ターゲットに「自分に近い」「憧れる」と感じさせるモデル選定基準を持っている</t>
        </is>
      </c>
      <c r="E47" s="49" t="inlineStr">
        <is>
          <t>CVR</t>
        </is>
      </c>
      <c r="F47" s="32" t="inlineStr"/>
      <c r="G47" s="33" t="inlineStr"/>
      <c r="H47" s="34" t="inlineStr"/>
    </row>
    <row r="48" ht="52" customHeight="1">
      <c r="A48" s="58" t="inlineStr">
        <is>
          <t>4</t>
        </is>
      </c>
      <c r="B48" s="59" t="inlineStr">
        <is>
          <t>4-4</t>
        </is>
      </c>
      <c r="C48" s="60" t="inlineStr">
        <is>
          <t>素材収集・AI生成活用</t>
        </is>
      </c>
      <c r="D48" s="61" t="inlineStr">
        <is>
          <t>クラウドワークスでの素材収集・ストック動画ツール活用。Gemini画像生成→Runway/Kling動画化のワークフロー実務活用</t>
        </is>
      </c>
      <c r="E48" s="48" t="inlineStr">
        <is>
          <t>基盤</t>
        </is>
      </c>
      <c r="F48" s="32" t="inlineStr"/>
      <c r="G48" s="33" t="inlineStr"/>
      <c r="H48" s="34" t="inlineStr"/>
    </row>
    <row r="49" ht="52" customHeight="1">
      <c r="A49" s="58" t="inlineStr">
        <is>
          <t>4</t>
        </is>
      </c>
      <c r="B49" s="59" t="inlineStr">
        <is>
          <t>4-5</t>
        </is>
      </c>
      <c r="C49" s="60" t="inlineStr">
        <is>
          <t>編集ディレクション</t>
        </is>
      </c>
      <c r="D49" s="61" t="inlineStr">
        <is>
          <t>カット割り/テロップ/BGM/エフェクト/テンポを指示書に落とせる。修正ループを最小化する初回指示力</t>
        </is>
      </c>
      <c r="E49" s="49" t="inlineStr">
        <is>
          <t>CVR</t>
        </is>
      </c>
      <c r="F49" s="32" t="inlineStr"/>
      <c r="G49" s="33" t="inlineStr"/>
      <c r="H49" s="34" t="inlineStr"/>
    </row>
    <row r="50" ht="52" customHeight="1">
      <c r="A50" s="58" t="inlineStr">
        <is>
          <t>4</t>
        </is>
      </c>
      <c r="B50" s="59" t="inlineStr">
        <is>
          <t>4-6</t>
        </is>
      </c>
      <c r="C50" s="60" t="inlineStr">
        <is>
          <t>動画品質判断・GO判定</t>
        </is>
      </c>
      <c r="D50" s="61" t="inlineStr">
        <is>
          <t>「この動画は出稿していいか」の最終判断。フック強度/テンポ/信頼構造/CTAの4軸で「なぜ勝つか」を言語化して判定できる</t>
        </is>
      </c>
      <c r="E50" s="31" t="inlineStr">
        <is>
          <t>CPA直結</t>
        </is>
      </c>
      <c r="F50" s="32" t="inlineStr"/>
      <c r="G50" s="33" t="inlineStr"/>
      <c r="H50" s="34" t="inlineStr"/>
    </row>
    <row r="51" ht="52" customHeight="1">
      <c r="A51" s="58" t="inlineStr">
        <is>
          <t>4</t>
        </is>
      </c>
      <c r="B51" s="59" t="inlineStr">
        <is>
          <t>4-7</t>
        </is>
      </c>
      <c r="C51" s="60" t="inlineStr">
        <is>
          <t>動画クリエイティブ PDCA</t>
        </is>
      </c>
      <c r="D51" s="61" t="inlineStr">
        <is>
          <t>フック違い/CTA違い/尺違い/訴求軸違いの変数設定。勝ちパターン抽出と横展開。数字と結びつけた記録・仮説化</t>
        </is>
      </c>
      <c r="E51" s="31" t="inlineStr">
        <is>
          <t>CPA直結</t>
        </is>
      </c>
      <c r="F51" s="32" t="inlineStr"/>
      <c r="G51" s="33" t="inlineStr"/>
      <c r="H51" s="34" t="inlineStr"/>
    </row>
    <row r="52" ht="52" customHeight="1">
      <c r="A52" s="58" t="inlineStr">
        <is>
          <t>4</t>
        </is>
      </c>
      <c r="B52" s="59" t="inlineStr">
        <is>
          <t>4-8</t>
        </is>
      </c>
      <c r="C52" s="60" t="inlineStr">
        <is>
          <t>勝ちクリエイティブの量産設計</t>
        </is>
      </c>
      <c r="D52" s="61" t="inlineStr">
        <is>
          <t>過去CVデータからパターン化して量産指示できる。週何百本レベルの制作量を担保する仕組み設計</t>
        </is>
      </c>
      <c r="E52" s="31" t="inlineStr">
        <is>
          <t>CPA直結</t>
        </is>
      </c>
      <c r="F52" s="32" t="inlineStr"/>
      <c r="G52" s="33" t="inlineStr"/>
      <c r="H52" s="34" t="inlineStr"/>
    </row>
    <row r="53" ht="6" customHeight="1">
      <c r="A53" s="43" t="n"/>
      <c r="B53" s="43" t="n"/>
      <c r="C53" s="43" t="n"/>
      <c r="D53" s="43" t="n"/>
      <c r="E53" s="43" t="n"/>
      <c r="F53" s="43" t="n"/>
      <c r="G53" s="43" t="n"/>
      <c r="H53" s="43" t="n"/>
    </row>
    <row r="54" ht="28" customHeight="1">
      <c r="A54" s="26" t="inlineStr">
        <is>
          <t xml:space="preserve">  🖼️ 静止画クリエイティブ</t>
        </is>
      </c>
    </row>
    <row r="55" ht="52" customHeight="1">
      <c r="A55" s="62" t="inlineStr">
        <is>
          <t>5</t>
        </is>
      </c>
      <c r="B55" s="63" t="inlineStr">
        <is>
          <t>5-1</t>
        </is>
      </c>
      <c r="C55" s="64" t="inlineStr">
        <is>
          <t>バナーコンセプト設計</t>
        </is>
      </c>
      <c r="D55" s="65" t="inlineStr">
        <is>
          <t>「何を言うか×誰に届けるか×どう見せるか」の3軸設計。悩み/効果/比較/権威訴求の選定と優先順位付け</t>
        </is>
      </c>
      <c r="E55" s="31" t="inlineStr">
        <is>
          <t>CPA直結</t>
        </is>
      </c>
      <c r="F55" s="32" t="inlineStr"/>
      <c r="G55" s="33" t="inlineStr"/>
      <c r="H55" s="34" t="inlineStr"/>
    </row>
    <row r="56" ht="52" customHeight="1">
      <c r="A56" s="62" t="inlineStr">
        <is>
          <t>5</t>
        </is>
      </c>
      <c r="B56" s="63" t="inlineStr">
        <is>
          <t>5-2</t>
        </is>
      </c>
      <c r="C56" s="64" t="inlineStr">
        <is>
          <t>バナーコピーライティング</t>
        </is>
      </c>
      <c r="D56" s="65" t="inlineStr">
        <is>
          <t>「止まる・読む・クリックする」3段階を起こすフックコピー設計。媒体別の文字量制限・表現規制を理解したコピー作成</t>
        </is>
      </c>
      <c r="E56" s="31" t="inlineStr">
        <is>
          <t>CPA直結</t>
        </is>
      </c>
      <c r="F56" s="32" t="inlineStr"/>
      <c r="G56" s="33" t="inlineStr"/>
      <c r="H56" s="34" t="inlineStr"/>
    </row>
    <row r="57" ht="52" customHeight="1">
      <c r="A57" s="62" t="inlineStr">
        <is>
          <t>5</t>
        </is>
      </c>
      <c r="B57" s="63" t="inlineStr">
        <is>
          <t>5-3</t>
        </is>
      </c>
      <c r="C57" s="64" t="inlineStr">
        <is>
          <t>デザイナーブリーフ・品質判断</t>
        </is>
      </c>
      <c r="D57" s="65" t="inlineStr">
        <is>
          <t>視線誘導/コントラスト/情報優先度を含む制作ブリーフ。「なぜこのデザインが勝つ/負けるか」を言語化して修正指示できる</t>
        </is>
      </c>
      <c r="E57" s="49" t="inlineStr">
        <is>
          <t>CVR</t>
        </is>
      </c>
      <c r="F57" s="32" t="inlineStr"/>
      <c r="G57" s="33" t="inlineStr"/>
      <c r="H57" s="34" t="inlineStr"/>
    </row>
    <row r="58" ht="52" customHeight="1">
      <c r="A58" s="62" t="inlineStr">
        <is>
          <t>5</t>
        </is>
      </c>
      <c r="B58" s="63" t="inlineStr">
        <is>
          <t>5-4</t>
        </is>
      </c>
      <c r="C58" s="64" t="inlineStr">
        <is>
          <t>媒体別フォーマット最適化</t>
        </is>
      </c>
      <c r="D58" s="65" t="inlineStr">
        <is>
          <t>Meta/Google/TikTok各媒体のサイズ・縦横比・文字量規定の理解と媒体別最適化。ポリシー対応の実務知識</t>
        </is>
      </c>
      <c r="E58" s="48" t="inlineStr">
        <is>
          <t>基盤</t>
        </is>
      </c>
      <c r="F58" s="32" t="inlineStr"/>
      <c r="G58" s="33" t="inlineStr"/>
      <c r="H58" s="34" t="inlineStr"/>
    </row>
    <row r="59" ht="52" customHeight="1">
      <c r="A59" s="62" t="inlineStr">
        <is>
          <t>5</t>
        </is>
      </c>
      <c r="B59" s="63" t="inlineStr">
        <is>
          <t>5-5</t>
        </is>
      </c>
      <c r="C59" s="64" t="inlineStr">
        <is>
          <t>静止画 PDCA</t>
        </is>
      </c>
      <c r="D59" s="65" t="inlineStr">
        <is>
          <t>訴求軸/ビジュアル/コピーの変数設定とABテスト。勝ちバナーの共通項抽出と横展開。動画との効果比較分析</t>
        </is>
      </c>
      <c r="E59" s="49" t="inlineStr">
        <is>
          <t>CVR</t>
        </is>
      </c>
      <c r="F59" s="32" t="inlineStr"/>
      <c r="G59" s="33" t="inlineStr"/>
      <c r="H59" s="34" t="inlineStr"/>
    </row>
    <row r="60" ht="6" customHeight="1">
      <c r="A60" s="43" t="n"/>
      <c r="B60" s="43" t="n"/>
      <c r="C60" s="43" t="n"/>
      <c r="D60" s="43" t="n"/>
      <c r="E60" s="43" t="n"/>
      <c r="F60" s="43" t="n"/>
      <c r="G60" s="43" t="n"/>
      <c r="H60" s="43" t="n"/>
    </row>
    <row r="61" ht="28" customHeight="1">
      <c r="A61" s="26" t="inlineStr">
        <is>
          <t xml:space="preserve">  🎥 撮影・制作ディレクション</t>
        </is>
      </c>
    </row>
    <row r="62" ht="52" customHeight="1">
      <c r="A62" s="66" t="inlineStr">
        <is>
          <t>6</t>
        </is>
      </c>
      <c r="B62" s="67" t="inlineStr">
        <is>
          <t>6-1</t>
        </is>
      </c>
      <c r="C62" s="68" t="inlineStr">
        <is>
          <t>撮影企画・指示書作成</t>
        </is>
      </c>
      <c r="D62" s="69" t="inlineStr">
        <is>
          <t>完成動画から逆算した撮影計画。カット割り/アングル/照明/背景/衣装/表情の指示書作成。撮影前に完成イメージが頭にある状態</t>
        </is>
      </c>
      <c r="E62" s="49" t="inlineStr">
        <is>
          <t>CVR</t>
        </is>
      </c>
      <c r="F62" s="32" t="inlineStr"/>
      <c r="G62" s="33" t="inlineStr"/>
      <c r="H62" s="34" t="inlineStr"/>
    </row>
    <row r="63" ht="52" customHeight="1">
      <c r="A63" s="66" t="inlineStr">
        <is>
          <t>6</t>
        </is>
      </c>
      <c r="B63" s="67" t="inlineStr">
        <is>
          <t>6-2</t>
        </is>
      </c>
      <c r="C63" s="68" t="inlineStr">
        <is>
          <t>撮影現場リアルタイム指示</t>
        </is>
      </c>
      <c r="D63" s="69" t="inlineStr">
        <is>
          <t>現場でモデル・カメラマンに「今のはOK/NG、こう変えて」が即座に言える。表情・セリフ・動きへの具体的な修正指示力【全員◎目標】</t>
        </is>
      </c>
      <c r="E63" s="49" t="inlineStr">
        <is>
          <t>CVR</t>
        </is>
      </c>
      <c r="F63" s="32" t="inlineStr"/>
      <c r="G63" s="33" t="inlineStr"/>
      <c r="H63" s="34" t="inlineStr"/>
    </row>
    <row r="64" ht="52" customHeight="1">
      <c r="A64" s="66" t="inlineStr">
        <is>
          <t>6</t>
        </is>
      </c>
      <c r="B64" s="67" t="inlineStr">
        <is>
          <t>6-3</t>
        </is>
      </c>
      <c r="C64" s="68" t="inlineStr">
        <is>
          <t>社内メンバー出演の設計・実施</t>
        </is>
      </c>
      <c r="D64" s="69" t="inlineStr">
        <is>
          <t>CTR/CVRの高い社内モデル候補を見極める眼。社員への出演依頼・世界観説明・撮影指示。社内撮影のスケジュール調整</t>
        </is>
      </c>
      <c r="E64" s="48" t="inlineStr">
        <is>
          <t>基盤</t>
        </is>
      </c>
      <c r="F64" s="32" t="inlineStr"/>
      <c r="G64" s="33" t="inlineStr"/>
      <c r="H64" s="34" t="inlineStr"/>
    </row>
    <row r="65" ht="52" customHeight="1">
      <c r="A65" s="66" t="inlineStr">
        <is>
          <t>6</t>
        </is>
      </c>
      <c r="B65" s="67" t="inlineStr">
        <is>
          <t>6-4</t>
        </is>
      </c>
      <c r="C65" s="68" t="inlineStr">
        <is>
          <t>モデル事務所・スタジオ管理</t>
        </is>
      </c>
      <c r="D65" s="69" t="inlineStr">
        <is>
          <t>月1回以上のモデル手配・スタジオ予約の実務。「売れる動画に映えるモデル」を見分ける選定基準。コスト感覚を持ちながら品質担保</t>
        </is>
      </c>
      <c r="E65" s="48" t="inlineStr">
        <is>
          <t>基盤</t>
        </is>
      </c>
      <c r="F65" s="32" t="inlineStr"/>
      <c r="G65" s="33" t="inlineStr"/>
      <c r="H65" s="34" t="inlineStr"/>
    </row>
    <row r="66" ht="52" customHeight="1">
      <c r="A66" s="66" t="inlineStr">
        <is>
          <t>6</t>
        </is>
      </c>
      <c r="B66" s="67" t="inlineStr">
        <is>
          <t>6-5</t>
        </is>
      </c>
      <c r="C66" s="68" t="inlineStr">
        <is>
          <t>AI生成・素材収集の実務活用</t>
        </is>
      </c>
      <c r="D66" s="69" t="inlineStr">
        <is>
          <t>Gemini→Runway/Kling のワークフロー実務活用。ストック素材ツール・クラウドワークス活用。AIと実写の使い分け判断</t>
        </is>
      </c>
      <c r="E66" s="48" t="inlineStr">
        <is>
          <t>基盤</t>
        </is>
      </c>
      <c r="F66" s="32" t="inlineStr"/>
      <c r="G66" s="33" t="inlineStr"/>
      <c r="H66" s="34" t="inlineStr"/>
    </row>
    <row r="67" ht="52" customHeight="1">
      <c r="A67" s="66" t="inlineStr">
        <is>
          <t>6</t>
        </is>
      </c>
      <c r="B67" s="67" t="inlineStr">
        <is>
          <t>6-6</t>
        </is>
      </c>
      <c r="C67" s="68" t="inlineStr">
        <is>
          <t>外部パートナー管理</t>
        </is>
      </c>
      <c r="D67" s="69" t="inlineStr">
        <is>
          <t>クラウドワークス等での素材調達・品質管理。動画編集者への指示精度と納期管理。外部コストを管理しながらスループットを最大化</t>
        </is>
      </c>
      <c r="E67" s="48" t="inlineStr">
        <is>
          <t>基盤</t>
        </is>
      </c>
      <c r="F67" s="32" t="inlineStr"/>
      <c r="G67" s="33" t="inlineStr"/>
      <c r="H67" s="34" t="inlineStr"/>
    </row>
    <row r="68" ht="6" customHeight="1">
      <c r="A68" s="43" t="n"/>
      <c r="B68" s="43" t="n"/>
      <c r="C68" s="43" t="n"/>
      <c r="D68" s="43" t="n"/>
      <c r="E68" s="43" t="n"/>
      <c r="F68" s="43" t="n"/>
      <c r="G68" s="43" t="n"/>
      <c r="H68" s="43" t="n"/>
    </row>
    <row r="69" ht="28" customHeight="1">
      <c r="A69" s="26" t="inlineStr">
        <is>
          <t xml:space="preserve">  🎤 顧客インタビュー・インサイト抽出</t>
        </is>
      </c>
    </row>
    <row r="70" ht="52" customHeight="1">
      <c r="A70" s="70" t="inlineStr">
        <is>
          <t>7</t>
        </is>
      </c>
      <c r="B70" s="71" t="inlineStr">
        <is>
          <t>7-1</t>
        </is>
      </c>
      <c r="C70" s="72" t="inlineStr">
        <is>
          <t>インタビュー設計・推進</t>
        </is>
      </c>
      <c r="D70" s="73" t="inlineStr">
        <is>
          <t>依頼メール文の作成・送付・回収の実務。インタビュー質問設計と本音を引き出すファシリテーション</t>
        </is>
      </c>
      <c r="E70" s="49" t="inlineStr">
        <is>
          <t>CVR</t>
        </is>
      </c>
      <c r="F70" s="32" t="inlineStr"/>
      <c r="G70" s="33" t="inlineStr"/>
      <c r="H70" s="34" t="inlineStr"/>
    </row>
    <row r="71" ht="52" customHeight="1">
      <c r="A71" s="70" t="inlineStr">
        <is>
          <t>7</t>
        </is>
      </c>
      <c r="B71" s="71" t="inlineStr">
        <is>
          <t>7-2</t>
        </is>
      </c>
      <c r="C71" s="72" t="inlineStr">
        <is>
          <t>インサイト抽出・言語化</t>
        </is>
      </c>
      <c r="D71" s="73" t="inlineStr">
        <is>
          <t>「購買の本当の理由」を「機能理由」ではなく「感情が動いた瞬間」まで掘り下げられる</t>
        </is>
      </c>
      <c r="E71" s="31" t="inlineStr">
        <is>
          <t>CPA直結</t>
        </is>
      </c>
      <c r="F71" s="32" t="inlineStr"/>
      <c r="G71" s="33" t="inlineStr"/>
      <c r="H71" s="34" t="inlineStr"/>
    </row>
    <row r="72" ht="52" customHeight="1">
      <c r="A72" s="70" t="inlineStr">
        <is>
          <t>7</t>
        </is>
      </c>
      <c r="B72" s="71" t="inlineStr">
        <is>
          <t>7-3</t>
        </is>
      </c>
      <c r="C72" s="72" t="inlineStr">
        <is>
          <t>口コミ・証言の調達</t>
        </is>
      </c>
      <c r="D72" s="73" t="inlineStr">
        <is>
          <t>質の高い口コミを集めるためのリサーチ・人探し。外部アンケート委託・クラウドワークスでのレポート収集</t>
        </is>
      </c>
      <c r="E72" s="31" t="inlineStr">
        <is>
          <t>CPA直結</t>
        </is>
      </c>
      <c r="F72" s="32" t="inlineStr"/>
      <c r="G72" s="33" t="inlineStr"/>
      <c r="H72" s="34" t="inlineStr"/>
    </row>
    <row r="73" ht="52" customHeight="1">
      <c r="A73" s="70" t="inlineStr">
        <is>
          <t>7</t>
        </is>
      </c>
      <c r="B73" s="71" t="inlineStr">
        <is>
          <t>7-4</t>
        </is>
      </c>
      <c r="C73" s="72" t="inlineStr">
        <is>
          <t>顧客の声のコピー転用</t>
        </is>
      </c>
      <c r="D73" s="73" t="inlineStr">
        <is>
          <t>インタビューで出た「顧客の言葉そのもの」をフック/記事LP/台本に組み込む習慣がある。転用時の薬機法チェックも含む</t>
        </is>
      </c>
      <c r="E73" s="31" t="inlineStr">
        <is>
          <t>CPA直結</t>
        </is>
      </c>
      <c r="F73" s="32" t="inlineStr"/>
      <c r="G73" s="33" t="inlineStr"/>
      <c r="H73" s="34" t="inlineStr"/>
    </row>
    <row r="74" ht="52" customHeight="1">
      <c r="A74" s="70" t="inlineStr">
        <is>
          <t>7</t>
        </is>
      </c>
      <c r="B74" s="71" t="inlineStr">
        <is>
          <t>7-5</t>
        </is>
      </c>
      <c r="C74" s="72" t="inlineStr">
        <is>
          <t>N1ペルソナ定義・更新</t>
        </is>
      </c>
      <c r="D74" s="73" t="inlineStr">
        <is>
          <t>「なぜその人が今日申し込むのか」まで解像度を上げたペルソナ定義。インタビューとデータを組み合わせて定期更新できる</t>
        </is>
      </c>
      <c r="E74" s="31" t="inlineStr">
        <is>
          <t>CPA直結</t>
        </is>
      </c>
      <c r="F74" s="32" t="inlineStr"/>
      <c r="G74" s="33" t="inlineStr"/>
      <c r="H74" s="34" t="inlineStr"/>
    </row>
    <row r="75" ht="6" customHeight="1">
      <c r="A75" s="43" t="n"/>
      <c r="B75" s="43" t="n"/>
      <c r="C75" s="43" t="n"/>
      <c r="D75" s="43" t="n"/>
      <c r="E75" s="43" t="n"/>
      <c r="F75" s="43" t="n"/>
      <c r="G75" s="43" t="n"/>
      <c r="H75" s="43" t="n"/>
    </row>
    <row r="76" ht="28" customHeight="1">
      <c r="A76" s="26" t="inlineStr">
        <is>
          <t xml:space="preserve">  🔭 競合分析・市場調査</t>
        </is>
      </c>
    </row>
    <row r="77" ht="52" customHeight="1">
      <c r="A77" s="74" t="inlineStr">
        <is>
          <t>8</t>
        </is>
      </c>
      <c r="B77" s="75" t="inlineStr">
        <is>
          <t>8-1</t>
        </is>
      </c>
      <c r="C77" s="76" t="inlineStr">
        <is>
          <t>競合広告モニタリング</t>
        </is>
      </c>
      <c r="D77" s="77" t="inlineStr">
        <is>
          <t>動画Pro等のツールを使った競合広告の常時モニタリング。「今どんな訴求が増えているか」を週次でキャッチできる</t>
        </is>
      </c>
      <c r="E77" s="31" t="inlineStr">
        <is>
          <t>CPA直結</t>
        </is>
      </c>
      <c r="F77" s="32" t="inlineStr"/>
      <c r="G77" s="33" t="inlineStr"/>
      <c r="H77" s="34" t="inlineStr"/>
    </row>
    <row r="78" ht="52" customHeight="1">
      <c r="A78" s="74" t="inlineStr">
        <is>
          <t>8</t>
        </is>
      </c>
      <c r="B78" s="75" t="inlineStr">
        <is>
          <t>8-2</t>
        </is>
      </c>
      <c r="C78" s="76" t="inlineStr">
        <is>
          <t>競合LP・オファー分析</t>
        </is>
      </c>
      <c r="D78" s="77" t="inlineStr">
        <is>
          <t>競合の記事LP/商品LP/チャットボット/オファーを読み解く。「なぜ競合がこの設計をしているか」の意図まで言語化できる</t>
        </is>
      </c>
      <c r="E78" s="49" t="inlineStr">
        <is>
          <t>CVR</t>
        </is>
      </c>
      <c r="F78" s="32" t="inlineStr"/>
      <c r="G78" s="33" t="inlineStr"/>
      <c r="H78" s="34" t="inlineStr"/>
    </row>
    <row r="79" ht="52" customHeight="1">
      <c r="A79" s="74" t="inlineStr">
        <is>
          <t>8</t>
        </is>
      </c>
      <c r="B79" s="75" t="inlineStr">
        <is>
          <t>8-3</t>
        </is>
      </c>
      <c r="C79" s="76" t="inlineStr">
        <is>
          <t>業界トレンドキャッチアップ</t>
        </is>
      </c>
      <c r="D79" s="77" t="inlineStr">
        <is>
          <t>D2C健康食品・スキンケア領域の広告トレンド変化を早期に察知して自社施策に反映できる</t>
        </is>
      </c>
      <c r="E79" s="49" t="inlineStr">
        <is>
          <t>CVR</t>
        </is>
      </c>
      <c r="F79" s="32" t="inlineStr"/>
      <c r="G79" s="33" t="inlineStr"/>
      <c r="H79" s="34" t="inlineStr"/>
    </row>
    <row r="80" ht="52" customHeight="1">
      <c r="A80" s="74" t="inlineStr">
        <is>
          <t>8</t>
        </is>
      </c>
      <c r="B80" s="75" t="inlineStr">
        <is>
          <t>8-4</t>
        </is>
      </c>
      <c r="C80" s="76" t="inlineStr">
        <is>
          <t>情報収集ネットワーク活用</t>
        </is>
      </c>
      <c r="D80" s="77" t="inlineStr">
        <is>
          <t>業界のつながり・コミュニティ等から競合の内部情報を収集できる。公開情報だけに頼らない情報収集力</t>
        </is>
      </c>
      <c r="E80" s="48" t="inlineStr">
        <is>
          <t>基盤</t>
        </is>
      </c>
      <c r="F80" s="32" t="inlineStr"/>
      <c r="G80" s="33" t="inlineStr"/>
      <c r="H80" s="34" t="inlineStr"/>
    </row>
    <row r="81" ht="52" customHeight="1">
      <c r="A81" s="74" t="inlineStr">
        <is>
          <t>8</t>
        </is>
      </c>
      <c r="B81" s="75" t="inlineStr">
        <is>
          <t>8-5</t>
        </is>
      </c>
      <c r="C81" s="76" t="inlineStr">
        <is>
          <t>調査→施策転用</t>
        </is>
      </c>
      <c r="D81" s="77" t="inlineStr">
        <is>
          <t>競合調査を「面白い情報収集」で終わらせず「だから次はこれをやる」に翌週の施策に落とせる速度感</t>
        </is>
      </c>
      <c r="E81" s="31" t="inlineStr">
        <is>
          <t>CPA直結</t>
        </is>
      </c>
      <c r="F81" s="32" t="inlineStr"/>
      <c r="G81" s="33" t="inlineStr"/>
      <c r="H81" s="34" t="inlineStr"/>
    </row>
    <row r="82" ht="6" customHeight="1">
      <c r="A82" s="43" t="n"/>
      <c r="B82" s="43" t="n"/>
      <c r="C82" s="43" t="n"/>
      <c r="D82" s="43" t="n"/>
      <c r="E82" s="43" t="n"/>
      <c r="F82" s="43" t="n"/>
      <c r="G82" s="43" t="n"/>
      <c r="H82" s="43" t="n"/>
    </row>
  </sheetData>
  <mergeCells count="10">
    <mergeCell ref="A12:H12"/>
    <mergeCell ref="A4:H4"/>
    <mergeCell ref="A69:H69"/>
    <mergeCell ref="A2:H2"/>
    <mergeCell ref="A54:H54"/>
    <mergeCell ref="A76:H76"/>
    <mergeCell ref="A36:H36"/>
    <mergeCell ref="A44:H44"/>
    <mergeCell ref="A61:H61"/>
    <mergeCell ref="A22:H22"/>
  </mergeCells>
  <dataValidations count="1">
    <dataValidation sqref="F5 F6 F7 F8 F9 F10 F13 F14 F15 F16 F17 F18 F19 F20 F23 F24 F25 F26 F27 F28 F29 F30 F31 F32 F33 F34 F37 F38 F39 F40 F41 F42 F45 F46 F47 F48 F49 F50 F51 F52 F55 F56 F57 F58 F59 F62 F63 F64 F65 F66 F67 F70 F71 F72 F73 F74 F77 F78 F79 F80 F81 G5 G6 G7 G8 G9 G10 G13 G14 G15 G16 G17 G18 G19 G20 G23 G24 G25 G26 G27 G28 G29 G30 G31 G32 G33 G34 G37 G38 G39 G40 G41 G42 G45 G46 G47 G48 G49 G50 G51 G52 G55 G56 G57 G58 G59 G62 G63 G64 G65 G66 G67 G70 G71 G72 G73 G74 G77 G78 G79 G80 G81" showDropDown="0" showInputMessage="0" showErrorMessage="0" allowBlank="1" promptTitle="評価を選択" prompt="◎/○/△/× から選択してください" type="list">
      <formula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16"/>
  <sheetViews>
    <sheetView showGridLines="0" workbookViewId="0">
      <selection activeCell="A1" sqref="A1"/>
    </sheetView>
  </sheetViews>
  <sheetFormatPr baseColWidth="8" defaultRowHeight="15"/>
  <cols>
    <col width="3" customWidth="1" min="1" max="1"/>
    <col width="30" customWidth="1" min="2" max="2"/>
    <col width="12" customWidth="1" min="3" max="3"/>
    <col width="12" customWidth="1" min="4" max="4"/>
    <col width="12" customWidth="1" min="5" max="5"/>
    <col width="12" customWidth="1" min="6" max="6"/>
    <col width="3" customWidth="1" min="7" max="7"/>
  </cols>
  <sheetData>
    <row r="1" ht="10" customHeight="1"/>
    <row r="2" ht="40" customHeight="1">
      <c r="B2" s="78" t="inlineStr">
        <is>
          <t>スキル評価  集計結果</t>
        </is>
      </c>
    </row>
    <row r="3" ht="16" customHeight="1"/>
    <row r="4" ht="28" customHeight="1">
      <c r="B4" s="79" t="inlineStr">
        <is>
          <t>カテゴリー</t>
        </is>
      </c>
      <c r="C4" s="79" t="inlineStr">
        <is>
          <t>◎</t>
        </is>
      </c>
      <c r="D4" s="79" t="inlineStr">
        <is>
          <t>○</t>
        </is>
      </c>
      <c r="E4" s="79" t="inlineStr">
        <is>
          <t>△</t>
        </is>
      </c>
      <c r="F4" s="79" t="inlineStr">
        <is>
          <t>×</t>
        </is>
      </c>
    </row>
    <row r="5" ht="26" customHeight="1">
      <c r="B5" s="80" t="inlineStr">
        <is>
          <t>💡 コピー力・法規制活用・訴求開発力</t>
        </is>
      </c>
      <c r="C5" s="81">
        <f>COUNTIF('📊 スキル評価シート'!$F$5:$F$10,"◎")</f>
        <v/>
      </c>
      <c r="D5" s="82">
        <f>COUNTIF('📊 スキル評価シート'!$F$5:$F$10,"○")</f>
        <v/>
      </c>
      <c r="E5" s="83">
        <f>COUNTIF('📊 スキル評価シート'!$F$5:$F$10,"△")</f>
        <v/>
      </c>
      <c r="F5" s="84">
        <f>COUNTIF('📊 スキル評価シート'!$F$5:$F$10,"×")</f>
        <v/>
      </c>
    </row>
    <row r="6" ht="26" customHeight="1">
      <c r="B6" s="85" t="inlineStr">
        <is>
          <t>📊 広告運用</t>
        </is>
      </c>
      <c r="C6" s="86">
        <f>COUNTIF('📊 スキル評価シート'!$F$13:$F$20,"◎")</f>
        <v/>
      </c>
      <c r="D6" s="87">
        <f>COUNTIF('📊 スキル評価シート'!$F$13:$F$20,"○")</f>
        <v/>
      </c>
      <c r="E6" s="88">
        <f>COUNTIF('📊 スキル評価シート'!$F$13:$F$20,"△")</f>
        <v/>
      </c>
      <c r="F6" s="89">
        <f>COUNTIF('📊 スキル評価シート'!$F$13:$F$20,"×")</f>
        <v/>
      </c>
    </row>
    <row r="7" ht="26" customHeight="1">
      <c r="B7" s="90" t="inlineStr">
        <is>
          <t>📝 記事LP</t>
        </is>
      </c>
      <c r="C7" s="91">
        <f>COUNTIF('📊 スキル評価シート'!$F$23:$F$34,"◎")</f>
        <v/>
      </c>
      <c r="D7" s="92">
        <f>COUNTIF('📊 スキル評価シート'!$F$23:$F$34,"○")</f>
        <v/>
      </c>
      <c r="E7" s="93">
        <f>COUNTIF('📊 スキル評価シート'!$F$23:$F$34,"△")</f>
        <v/>
      </c>
      <c r="F7" s="94">
        <f>COUNTIF('📊 スキル評価シート'!$F$23:$F$34,"×")</f>
        <v/>
      </c>
    </row>
    <row r="8" ht="26" customHeight="1">
      <c r="B8" s="95" t="inlineStr">
        <is>
          <t>🛒 商品LP・チャットボット</t>
        </is>
      </c>
      <c r="C8" s="96">
        <f>COUNTIF('📊 スキル評価シート'!$F$37:$F$42,"◎")</f>
        <v/>
      </c>
      <c r="D8" s="97">
        <f>COUNTIF('📊 スキル評価シート'!$F$37:$F$42,"○")</f>
        <v/>
      </c>
      <c r="E8" s="98">
        <f>COUNTIF('📊 スキル評価シート'!$F$37:$F$42,"△")</f>
        <v/>
      </c>
      <c r="F8" s="99">
        <f>COUNTIF('📊 スキル評価シート'!$F$37:$F$42,"×")</f>
        <v/>
      </c>
    </row>
    <row r="9" ht="26" customHeight="1">
      <c r="B9" s="100" t="inlineStr">
        <is>
          <t>🎬 動画クリエイティブ</t>
        </is>
      </c>
      <c r="C9" s="101">
        <f>COUNTIF('📊 スキル評価シート'!$F$45:$F$52,"◎")</f>
        <v/>
      </c>
      <c r="D9" s="102">
        <f>COUNTIF('📊 スキル評価シート'!$F$45:$F$52,"○")</f>
        <v/>
      </c>
      <c r="E9" s="103">
        <f>COUNTIF('📊 スキル評価シート'!$F$45:$F$52,"△")</f>
        <v/>
      </c>
      <c r="F9" s="104">
        <f>COUNTIF('📊 スキル評価シート'!$F$45:$F$52,"×")</f>
        <v/>
      </c>
    </row>
    <row r="10" ht="26" customHeight="1">
      <c r="B10" s="105" t="inlineStr">
        <is>
          <t>🖼️ 静止画クリエイティブ</t>
        </is>
      </c>
      <c r="C10" s="106">
        <f>COUNTIF('📊 スキル評価シート'!$F$55:$F$59,"◎")</f>
        <v/>
      </c>
      <c r="D10" s="107">
        <f>COUNTIF('📊 スキル評価シート'!$F$55:$F$59,"○")</f>
        <v/>
      </c>
      <c r="E10" s="108">
        <f>COUNTIF('📊 スキル評価シート'!$F$55:$F$59,"△")</f>
        <v/>
      </c>
      <c r="F10" s="109">
        <f>COUNTIF('📊 スキル評価シート'!$F$55:$F$59,"×")</f>
        <v/>
      </c>
    </row>
    <row r="11" ht="26" customHeight="1">
      <c r="B11" s="110" t="inlineStr">
        <is>
          <t>🎥 撮影・制作ディレクション</t>
        </is>
      </c>
      <c r="C11" s="111">
        <f>COUNTIF('📊 スキル評価シート'!$F$62:$F$67,"◎")</f>
        <v/>
      </c>
      <c r="D11" s="112">
        <f>COUNTIF('📊 スキル評価シート'!$F$62:$F$67,"○")</f>
        <v/>
      </c>
      <c r="E11" s="113">
        <f>COUNTIF('📊 スキル評価シート'!$F$62:$F$67,"△")</f>
        <v/>
      </c>
      <c r="F11" s="114">
        <f>COUNTIF('📊 スキル評価シート'!$F$62:$F$67,"×")</f>
        <v/>
      </c>
    </row>
    <row r="12" ht="26" customHeight="1">
      <c r="B12" s="115" t="inlineStr">
        <is>
          <t>🎤 顧客インタビュー・インサイト抽出</t>
        </is>
      </c>
      <c r="C12" s="116">
        <f>COUNTIF('📊 スキル評価シート'!$F$70:$F$74,"◎")</f>
        <v/>
      </c>
      <c r="D12" s="117">
        <f>COUNTIF('📊 スキル評価シート'!$F$70:$F$74,"○")</f>
        <v/>
      </c>
      <c r="E12" s="118">
        <f>COUNTIF('📊 スキル評価シート'!$F$70:$F$74,"△")</f>
        <v/>
      </c>
      <c r="F12" s="119">
        <f>COUNTIF('📊 スキル評価シート'!$F$70:$F$74,"×")</f>
        <v/>
      </c>
    </row>
    <row r="13" ht="26" customHeight="1">
      <c r="B13" s="120" t="inlineStr">
        <is>
          <t>🔭 競合分析・市場調査</t>
        </is>
      </c>
      <c r="C13" s="121">
        <f>COUNTIF('📊 スキル評価シート'!$F$77:$F$81,"◎")</f>
        <v/>
      </c>
      <c r="D13" s="122">
        <f>COUNTIF('📊 スキル評価シート'!$F$77:$F$81,"○")</f>
        <v/>
      </c>
      <c r="E13" s="123">
        <f>COUNTIF('📊 スキル評価シート'!$F$77:$F$81,"△")</f>
        <v/>
      </c>
      <c r="F13" s="124">
        <f>COUNTIF('📊 スキル評価シート'!$F$77:$F$81,"×")</f>
        <v/>
      </c>
    </row>
    <row r="14" ht="30" customHeight="1">
      <c r="B14" s="125" t="inlineStr">
        <is>
          <t>合計</t>
        </is>
      </c>
      <c r="C14" s="126">
        <f>SUM(C5:C13)</f>
        <v/>
      </c>
      <c r="D14" s="127">
        <f>SUM(D5:D13)</f>
        <v/>
      </c>
      <c r="E14" s="128">
        <f>SUM(E5:E13)</f>
        <v/>
      </c>
      <c r="F14" s="129">
        <f>SUM(F5:F13)</f>
        <v/>
      </c>
    </row>
    <row r="16">
      <c r="B16" s="130" t="inlineStr">
        <is>
          <t>※ 上の集計は「自己評価」列のみをカウントしています。上長評価の集計は別途ご確認ください。</t>
        </is>
      </c>
    </row>
  </sheetData>
  <mergeCells count="3">
    <mergeCell ref="B2:F2"/>
    <mergeCell ref="B16:F16"/>
    <mergeCell ref="B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2026-04-16T03:41:20Z</dcterms:created>
  <dcterms:modified xmlns:dcterms="http://purl.org/dc/terms/" xmlns:xsi="http://www.w3.org/2001/XMLSchema-instance" xsi:type="dcterms:W3CDTF">2026-04-16T03:41:20Z</dcterms:modified>
</cp:coreProperties>
</file>